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\Desktop\Test de Sacar Variables\"/>
    </mc:Choice>
  </mc:AlternateContent>
  <xr:revisionPtr revIDLastSave="0" documentId="13_ncr:1_{03FD878A-F8DC-4CB4-94D6-17D4A8152BEB}" xr6:coauthVersionLast="47" xr6:coauthVersionMax="47" xr10:uidLastSave="{00000000-0000-0000-0000-000000000000}"/>
  <bookViews>
    <workbookView xWindow="-120" yWindow="-120" windowWidth="29040" windowHeight="15720" xr2:uid="{A0DA8A82-39AF-48AA-8AF7-42BE9E1F1568}"/>
  </bookViews>
  <sheets>
    <sheet name="datos_combinados" sheetId="1" r:id="rId1"/>
  </sheets>
  <definedNames>
    <definedName name="_xlnm._FilterDatabase" localSheetId="0" hidden="1">datos_combinados!$AA$1:$AE$1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0" i="1" l="1"/>
  <c r="V30" i="1"/>
  <c r="U30" i="1"/>
  <c r="W29" i="1"/>
  <c r="V29" i="1"/>
  <c r="U29" i="1"/>
  <c r="W28" i="1"/>
  <c r="V28" i="1"/>
  <c r="U28" i="1"/>
  <c r="W27" i="1"/>
  <c r="V27" i="1"/>
  <c r="U27" i="1"/>
  <c r="W26" i="1"/>
  <c r="V26" i="1"/>
  <c r="U26" i="1"/>
  <c r="W25" i="1"/>
  <c r="V25" i="1"/>
  <c r="U25" i="1"/>
  <c r="W24" i="1"/>
  <c r="V24" i="1"/>
  <c r="U24" i="1"/>
  <c r="W23" i="1"/>
  <c r="V23" i="1"/>
  <c r="U23" i="1"/>
  <c r="W22" i="1"/>
  <c r="V22" i="1"/>
  <c r="U22" i="1"/>
  <c r="W21" i="1"/>
  <c r="V21" i="1"/>
  <c r="U21" i="1"/>
  <c r="W20" i="1"/>
  <c r="V20" i="1"/>
  <c r="U20" i="1"/>
  <c r="W19" i="1"/>
  <c r="V19" i="1"/>
  <c r="U19" i="1"/>
  <c r="W18" i="1"/>
  <c r="V18" i="1"/>
  <c r="U18" i="1"/>
  <c r="W17" i="1"/>
  <c r="V17" i="1"/>
  <c r="U17" i="1"/>
  <c r="W16" i="1"/>
  <c r="V16" i="1"/>
  <c r="U16" i="1"/>
  <c r="W15" i="1"/>
  <c r="V15" i="1"/>
  <c r="U15" i="1"/>
  <c r="W14" i="1"/>
  <c r="V14" i="1"/>
  <c r="U14" i="1"/>
  <c r="W13" i="1"/>
  <c r="V13" i="1"/>
  <c r="U13" i="1"/>
  <c r="W12" i="1"/>
  <c r="V12" i="1"/>
  <c r="U12" i="1"/>
  <c r="W11" i="1"/>
  <c r="V11" i="1"/>
  <c r="U11" i="1"/>
  <c r="W10" i="1"/>
  <c r="V10" i="1"/>
  <c r="U10" i="1"/>
  <c r="W9" i="1"/>
  <c r="V9" i="1"/>
  <c r="U9" i="1"/>
  <c r="W8" i="1"/>
  <c r="V8" i="1"/>
  <c r="U8" i="1"/>
  <c r="W7" i="1"/>
  <c r="V7" i="1"/>
  <c r="U7" i="1"/>
  <c r="W6" i="1"/>
  <c r="V6" i="1"/>
  <c r="U6" i="1"/>
  <c r="W5" i="1"/>
  <c r="V5" i="1"/>
  <c r="U5" i="1"/>
  <c r="W4" i="1"/>
  <c r="V4" i="1"/>
  <c r="U4" i="1"/>
  <c r="W3" i="1"/>
  <c r="V3" i="1"/>
  <c r="U3" i="1"/>
  <c r="W2" i="1"/>
  <c r="V2" i="1"/>
  <c r="U2" i="1"/>
  <c r="T2" i="1"/>
  <c r="AG20" i="1"/>
  <c r="AG19" i="1"/>
  <c r="AG18" i="1"/>
  <c r="AG17" i="1"/>
  <c r="AG16" i="1"/>
  <c r="AG15" i="1"/>
  <c r="AG14" i="1"/>
  <c r="AG13" i="1"/>
  <c r="AG12" i="1"/>
  <c r="AG11" i="1"/>
  <c r="AG10" i="1"/>
  <c r="AG9" i="1"/>
  <c r="AG8" i="1"/>
  <c r="AG7" i="1"/>
  <c r="AG6" i="1"/>
  <c r="AG5" i="1"/>
  <c r="AG4" i="1"/>
  <c r="AG3" i="1"/>
  <c r="AG2" i="1"/>
  <c r="G152" i="1"/>
  <c r="AE6" i="1" s="1"/>
  <c r="G151" i="1"/>
  <c r="AE9" i="1" s="1"/>
  <c r="G150" i="1"/>
  <c r="AE7" i="1" s="1"/>
  <c r="G149" i="1"/>
  <c r="AE10" i="1" s="1"/>
  <c r="G148" i="1"/>
  <c r="AE5" i="1" s="1"/>
  <c r="G147" i="1"/>
  <c r="AE12" i="1" s="1"/>
  <c r="G146" i="1"/>
  <c r="G145" i="1"/>
  <c r="AE8" i="1" s="1"/>
  <c r="G144" i="1"/>
  <c r="AE17" i="1" s="1"/>
  <c r="G143" i="1"/>
  <c r="AE2" i="1" s="1"/>
  <c r="G142" i="1"/>
  <c r="AE3" i="1" s="1"/>
  <c r="G141" i="1"/>
  <c r="AE4" i="1" s="1"/>
  <c r="G140" i="1"/>
  <c r="AE11" i="1" s="1"/>
  <c r="G139" i="1"/>
  <c r="AE13" i="1" s="1"/>
  <c r="G138" i="1"/>
  <c r="AE20" i="1" s="1"/>
  <c r="G137" i="1"/>
  <c r="AE15" i="1" s="1"/>
  <c r="G136" i="1"/>
  <c r="AE16" i="1" s="1"/>
  <c r="G135" i="1"/>
  <c r="AE14" i="1" s="1"/>
  <c r="G134" i="1"/>
  <c r="AE19" i="1" s="1"/>
  <c r="G133" i="1"/>
  <c r="AE18" i="1" s="1"/>
  <c r="G132" i="1"/>
  <c r="AD2" i="1" s="1"/>
  <c r="G131" i="1"/>
  <c r="AD3" i="1" s="1"/>
  <c r="G130" i="1"/>
  <c r="AD4" i="1" s="1"/>
  <c r="G129" i="1"/>
  <c r="AD5" i="1" s="1"/>
  <c r="G128" i="1"/>
  <c r="AD11" i="1" s="1"/>
  <c r="G127" i="1"/>
  <c r="AD14" i="1" s="1"/>
  <c r="G126" i="1"/>
  <c r="AD18" i="1" s="1"/>
  <c r="G125" i="1"/>
  <c r="AD10" i="1" s="1"/>
  <c r="G124" i="1"/>
  <c r="AD8" i="1" s="1"/>
  <c r="G123" i="1"/>
  <c r="AD9" i="1" s="1"/>
  <c r="G122" i="1"/>
  <c r="AD13" i="1" s="1"/>
  <c r="G121" i="1"/>
  <c r="AD6" i="1" s="1"/>
  <c r="G120" i="1"/>
  <c r="AD16" i="1" s="1"/>
  <c r="G119" i="1"/>
  <c r="AD19" i="1" s="1"/>
  <c r="G118" i="1"/>
  <c r="AD15" i="1" s="1"/>
  <c r="G117" i="1"/>
  <c r="AD7" i="1" s="1"/>
  <c r="G116" i="1"/>
  <c r="AD17" i="1" s="1"/>
  <c r="G115" i="1"/>
  <c r="AD12" i="1" s="1"/>
  <c r="G114" i="1"/>
  <c r="G113" i="1"/>
  <c r="AD20" i="1" s="1"/>
  <c r="G112" i="1"/>
  <c r="AC2" i="1" s="1"/>
  <c r="G111" i="1"/>
  <c r="AC16" i="1" s="1"/>
  <c r="G110" i="1"/>
  <c r="AC3" i="1" s="1"/>
  <c r="G109" i="1"/>
  <c r="AC15" i="1" s="1"/>
  <c r="G108" i="1"/>
  <c r="AC19" i="1" s="1"/>
  <c r="G107" i="1"/>
  <c r="AC4" i="1" s="1"/>
  <c r="G106" i="1"/>
  <c r="G105" i="1"/>
  <c r="AC13" i="1" s="1"/>
  <c r="G104" i="1"/>
  <c r="AC18" i="1" s="1"/>
  <c r="G103" i="1"/>
  <c r="AC14" i="1" s="1"/>
  <c r="G102" i="1"/>
  <c r="AC20" i="1" s="1"/>
  <c r="G101" i="1"/>
  <c r="AC8" i="1" s="1"/>
  <c r="G100" i="1"/>
  <c r="AC7" i="1" s="1"/>
  <c r="G99" i="1"/>
  <c r="AC12" i="1" s="1"/>
  <c r="G98" i="1"/>
  <c r="AC6" i="1" s="1"/>
  <c r="G97" i="1"/>
  <c r="AC11" i="1" s="1"/>
  <c r="G96" i="1"/>
  <c r="AC5" i="1" s="1"/>
  <c r="G95" i="1"/>
  <c r="AC17" i="1" s="1"/>
  <c r="G94" i="1"/>
  <c r="AC9" i="1" s="1"/>
  <c r="G93" i="1"/>
  <c r="AC10" i="1" s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T10" i="1" s="1"/>
  <c r="G28" i="1"/>
  <c r="T29" i="1" s="1"/>
  <c r="G27" i="1"/>
  <c r="G26" i="1"/>
  <c r="T27" i="1" s="1"/>
  <c r="G25" i="1"/>
  <c r="T25" i="1" s="1"/>
  <c r="G24" i="1"/>
  <c r="G23" i="1"/>
  <c r="G22" i="1"/>
  <c r="T21" i="1" s="1"/>
  <c r="G21" i="1"/>
  <c r="T26" i="1" s="1"/>
  <c r="G20" i="1"/>
  <c r="G19" i="1"/>
  <c r="G18" i="1"/>
  <c r="G17" i="1"/>
  <c r="G16" i="1"/>
  <c r="G15" i="1"/>
  <c r="G14" i="1"/>
  <c r="G13" i="1"/>
  <c r="G12" i="1"/>
  <c r="G11" i="1"/>
  <c r="G10" i="1"/>
  <c r="G9" i="1"/>
  <c r="T12" i="1" s="1"/>
  <c r="G8" i="1"/>
  <c r="T6" i="1" s="1"/>
  <c r="G7" i="1"/>
  <c r="T22" i="1" s="1"/>
  <c r="G6" i="1"/>
  <c r="T19" i="1" s="1"/>
  <c r="G5" i="1"/>
  <c r="T17" i="1" s="1"/>
  <c r="G4" i="1"/>
  <c r="G3" i="1"/>
  <c r="G2" i="1"/>
  <c r="T9" i="1" s="1"/>
  <c r="T28" i="1" l="1"/>
  <c r="T24" i="1"/>
  <c r="T20" i="1"/>
  <c r="T11" i="1"/>
  <c r="T5" i="1"/>
  <c r="T13" i="1"/>
  <c r="T23" i="1"/>
  <c r="T16" i="1"/>
  <c r="T4" i="1"/>
  <c r="T3" i="1"/>
  <c r="T15" i="1"/>
  <c r="T18" i="1"/>
  <c r="T14" i="1"/>
  <c r="T7" i="1"/>
  <c r="T8" i="1"/>
  <c r="T30" i="1"/>
</calcChain>
</file>

<file path=xl/sharedStrings.xml><?xml version="1.0" encoding="utf-8"?>
<sst xmlns="http://schemas.openxmlformats.org/spreadsheetml/2006/main" count="204" uniqueCount="58">
  <si>
    <t>study_name</t>
  </si>
  <si>
    <t>foto_mes_test</t>
  </si>
  <si>
    <t>ganancia_test</t>
  </si>
  <si>
    <t>predicciones_positivas</t>
  </si>
  <si>
    <t>porcentaje_positivas</t>
  </si>
  <si>
    <t>ganancia_optima_promedio</t>
  </si>
  <si>
    <t>clientes_optimos</t>
  </si>
  <si>
    <t>Pruebo sacando variables_V2__sin_tarjetas_pagos</t>
  </si>
  <si>
    <t>Pruebo sacando variables_V2__sin_inversiones</t>
  </si>
  <si>
    <t>Pruebo sacando variables_V2__sin_payroll</t>
  </si>
  <si>
    <t>Pruebo sacando variables_V2__sin_transferencias</t>
  </si>
  <si>
    <t>Pruebo sacando variables_V2__sin_tarjetas_consumos</t>
  </si>
  <si>
    <t>Pruebo sacando variables_V2__sin_tarjetas_saldos</t>
  </si>
  <si>
    <t>Pruebo sacando variables_V2__sin_prestamos</t>
  </si>
  <si>
    <t>Pruebo sacando variables_V2__sin_tarjetas_adelantos</t>
  </si>
  <si>
    <t>Pruebo sacando variables_V2__sin_seguros</t>
  </si>
  <si>
    <t>Pruebo sacando variables_V2__sin_tarjeta_debito</t>
  </si>
  <si>
    <t>Pruebo sacando variables_V2__sin_tarjeta_master</t>
  </si>
  <si>
    <t>Pruebo sacando variables_V2__sin_cuentas_saldo</t>
  </si>
  <si>
    <t>Pruebo sacando variables_V2__sin_atm_autoservicio</t>
  </si>
  <si>
    <t>Pruebo sacando variables_V2__sin_debitos_automaticos</t>
  </si>
  <si>
    <t>Pruebo sacando variables_V2__sin_caja_ahorro</t>
  </si>
  <si>
    <t>Pruebo sacando variables_V2__sin_tarjeta_visa</t>
  </si>
  <si>
    <t>Pruebo sacando variables_V2__sin_forex</t>
  </si>
  <si>
    <t>Pruebo sacando variables_V2__sin_cajas</t>
  </si>
  <si>
    <t>Pruebo sacando variables_V2__sin_indicadores_financieros</t>
  </si>
  <si>
    <t>Pruebo sacando variables_V2__sin_canales_digitales</t>
  </si>
  <si>
    <t>Pruebo sacando variables_V2__sin_tarjetas_fechas_y_estado</t>
  </si>
  <si>
    <t>Pruebo sacando variables_V2__sin_cliente_vip</t>
  </si>
  <si>
    <t>Pruebo sacando variables_V2__sin_comisiones_mantenimiento</t>
  </si>
  <si>
    <t>Pruebo sacando variables_V2__sin_tarjetas_limites</t>
  </si>
  <si>
    <t>Pruebo sacando variables_V2__sin_comisiones_otras</t>
  </si>
  <si>
    <t>Pruebo sacando variables_V2__sin_cuenta_corriente</t>
  </si>
  <si>
    <t>Pruebo sacando variables_V2__sin_pagos</t>
  </si>
  <si>
    <t>Pruebo sacando variables_V2 (Base)</t>
  </si>
  <si>
    <t>Base</t>
  </si>
  <si>
    <t>Var Group</t>
  </si>
  <si>
    <t>Neto</t>
  </si>
  <si>
    <t>Pruebo sacando a variable_V3__sin_mcomisiones</t>
  </si>
  <si>
    <t>Pruebo sacando a variable_V3__sin_mcaja_ahorro_dolares</t>
  </si>
  <si>
    <t>Pruebo sacando a variable_V3__sin_mcaja_ahorro</t>
  </si>
  <si>
    <t>Pruebo sacando a variable_V3__sin_ctarjeta_debito</t>
  </si>
  <si>
    <t>Pruebo sacando a variable_V3__sin_mcomisiones_otras</t>
  </si>
  <si>
    <t>Pruebo sacando a variable_V3__sin_cprestamos_hipotecarios</t>
  </si>
  <si>
    <t>Pruebo sacando a variable_V3__sin_cforex_buy</t>
  </si>
  <si>
    <t>Pruebo sacando a variable_V3__sin_ccaja_ahorro</t>
  </si>
  <si>
    <t>Pruebo sacando a variable_V3__sin_cforex_sell</t>
  </si>
  <si>
    <t>Pruebo sacando a variable_V3__sin_ccomisiones_otras</t>
  </si>
  <si>
    <t>Pruebo sacando a variable_V3__sin_mcaja_ahorro_adicional</t>
  </si>
  <si>
    <t>Pruebo sacando a variable_V3__sin_cprestamos_prendarios</t>
  </si>
  <si>
    <t>Pruebo sacando a variable_V3__sin_mprestamos_prendarios</t>
  </si>
  <si>
    <t>Pruebo sacando a variable_V3__sin_mforex_sell</t>
  </si>
  <si>
    <t>Pruebo sacando a variable_V3__sin_cprestamos_personales</t>
  </si>
  <si>
    <t>Pruebo sacando a variable_V3__sin_cforex</t>
  </si>
  <si>
    <t>Pruebo sacando a variable_V3__sin_mprestamos_hipotecarios</t>
  </si>
  <si>
    <t>Pruebo sacando a variable_V3__sin_mforex_buy</t>
  </si>
  <si>
    <t>Pruebo sacando a variable_V3__sin_mprestamos_personales</t>
  </si>
  <si>
    <t>vars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</si>
</sst>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64" fontId="0" fillId="0" borderId="0" xfId="1" applyNumberFormat="1" applyFont="1"/>
    <xf numFmtId="0" fontId="6" fillId="2" borderId="0" xfId="7"/>
    <xf numFmtId="0" fontId="8" fillId="4" borderId="0" xfId="9"/>
    <xf numFmtId="0" fontId="7" fillId="3" borderId="0" xfId="8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8D3B5-799C-4503-87EA-1579D1BCE507}">
  <dimension ref="A1:AG152"/>
  <sheetViews>
    <sheetView tabSelected="1" topLeftCell="T1" workbookViewId="0">
      <selection activeCell="AB7" sqref="AB7"/>
    </sheetView>
  </sheetViews>
  <sheetFormatPr defaultRowHeight="15" x14ac:dyDescent="0.25"/>
  <cols>
    <col min="1" max="1" width="58.42578125" bestFit="1" customWidth="1"/>
    <col min="2" max="2" width="13.140625" bestFit="1" customWidth="1"/>
    <col min="3" max="3" width="13.42578125" bestFit="1" customWidth="1"/>
    <col min="4" max="4" width="21.7109375" bestFit="1" customWidth="1"/>
    <col min="5" max="5" width="19.5703125" bestFit="1" customWidth="1"/>
    <col min="6" max="6" width="26.42578125" bestFit="1" customWidth="1"/>
    <col min="7" max="7" width="11.5703125" bestFit="1" customWidth="1"/>
    <col min="8" max="8" width="16.140625" bestFit="1" customWidth="1"/>
    <col min="12" max="12" width="7" bestFit="1" customWidth="1"/>
    <col min="13" max="13" width="12.5703125" bestFit="1" customWidth="1"/>
    <col min="19" max="19" width="58.42578125" bestFit="1" customWidth="1"/>
    <col min="20" max="20" width="11.5703125" bestFit="1" customWidth="1"/>
    <col min="21" max="23" width="11.5703125" customWidth="1"/>
    <col min="27" max="27" width="57.5703125" bestFit="1" customWidth="1"/>
    <col min="28" max="28" width="10.5703125" bestFit="1" customWidth="1"/>
    <col min="29" max="32" width="10.5703125" customWidth="1"/>
  </cols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35</v>
      </c>
      <c r="H1" t="s">
        <v>6</v>
      </c>
      <c r="S1" t="s">
        <v>36</v>
      </c>
      <c r="T1" t="s">
        <v>37</v>
      </c>
      <c r="U1">
        <v>202104</v>
      </c>
      <c r="V1">
        <v>202105</v>
      </c>
      <c r="W1">
        <v>202106</v>
      </c>
      <c r="AB1" t="s">
        <v>37</v>
      </c>
      <c r="AC1">
        <v>202104</v>
      </c>
      <c r="AD1">
        <v>202105</v>
      </c>
      <c r="AE1">
        <v>202106</v>
      </c>
    </row>
    <row r="2" spans="1:33" x14ac:dyDescent="0.25">
      <c r="A2" s="2" t="s">
        <v>31</v>
      </c>
      <c r="B2">
        <v>202104</v>
      </c>
      <c r="C2">
        <v>2147480000</v>
      </c>
      <c r="D2">
        <v>8609</v>
      </c>
      <c r="E2">
        <v>5.2680855230145998</v>
      </c>
      <c r="F2" s="1">
        <v>355280000</v>
      </c>
      <c r="G2" s="1">
        <f>F2-_xlfn.XLOOKUP(B2,L:L,M:M)</f>
        <v>5160000</v>
      </c>
      <c r="H2">
        <v>10867</v>
      </c>
      <c r="L2">
        <v>202104</v>
      </c>
      <c r="M2" s="1">
        <v>350120000</v>
      </c>
      <c r="S2" t="s">
        <v>13</v>
      </c>
      <c r="T2" s="1">
        <f t="shared" ref="T2:T30" si="0">SUMIFS(G:G,A:A,S2)</f>
        <v>11920000</v>
      </c>
      <c r="U2" s="1">
        <f>SUMIFS($G:$G,$A:$A,$S2,$B:$B,U$1)</f>
        <v>-16880000</v>
      </c>
      <c r="V2" s="1">
        <f t="shared" ref="V2:W30" si="1">SUMIFS($G:$G,$A:$A,$S2,$B:$B,V$1)</f>
        <v>-9620000</v>
      </c>
      <c r="W2" s="1">
        <f t="shared" si="1"/>
        <v>38420000</v>
      </c>
      <c r="AA2" t="s">
        <v>56</v>
      </c>
      <c r="AB2" s="1">
        <v>-5060000</v>
      </c>
      <c r="AC2" s="1">
        <f>SUMIFS($G:$G,$A:$A,$AA2,$B:$B,AC$1)</f>
        <v>-1340000</v>
      </c>
      <c r="AD2" s="1">
        <f>SUMIFS($G:$G,$A:$A,$AA2,$B:$B,AD$1)</f>
        <v>-4220000</v>
      </c>
      <c r="AE2" s="1">
        <f>SUMIFS($G:$G,$A:$A,$AA2,$B:$B,AE$1)</f>
        <v>500000</v>
      </c>
      <c r="AF2" s="1"/>
      <c r="AG2" s="4" t="str">
        <f>_xlfn.TEXTAFTER(_xlfn.TEXTAFTER(AA2,"__"),"_")</f>
        <v>mprestamos_personales</v>
      </c>
    </row>
    <row r="3" spans="1:33" x14ac:dyDescent="0.25">
      <c r="A3" s="2" t="s">
        <v>28</v>
      </c>
      <c r="B3">
        <v>202104</v>
      </c>
      <c r="C3">
        <v>2147300000</v>
      </c>
      <c r="D3">
        <v>8536</v>
      </c>
      <c r="E3">
        <v>5.2234148013070696</v>
      </c>
      <c r="F3" s="1">
        <v>353940000</v>
      </c>
      <c r="G3" s="1">
        <f t="shared" ref="G3:G66" si="2">F3-_xlfn.XLOOKUP(B3,L:L,M:M)</f>
        <v>3820000</v>
      </c>
      <c r="H3">
        <v>10986</v>
      </c>
      <c r="L3">
        <v>202105</v>
      </c>
      <c r="M3" s="1">
        <v>193520000</v>
      </c>
      <c r="S3" t="s">
        <v>31</v>
      </c>
      <c r="T3" s="1">
        <f t="shared" si="0"/>
        <v>6820000</v>
      </c>
      <c r="U3" s="1">
        <f t="shared" ref="U3:W30" si="3">SUMIFS($G:$G,$A:$A,$S3,$B:$B,U$1)</f>
        <v>5160000</v>
      </c>
      <c r="V3" s="1">
        <f t="shared" si="1"/>
        <v>-1860000</v>
      </c>
      <c r="W3" s="1">
        <f t="shared" si="1"/>
        <v>3520000</v>
      </c>
      <c r="AA3" t="s">
        <v>54</v>
      </c>
      <c r="AB3" s="1">
        <v>-3640000</v>
      </c>
      <c r="AC3" s="1">
        <f t="shared" ref="AC3:AC20" si="4">SUMIFS($G:$G,$A:$A,$AA3,$B:$B,AC$1)</f>
        <v>-760000</v>
      </c>
      <c r="AD3" s="1">
        <f>SUMIFS($G:$G,$A:$A,$AA3,$B:$B,AD$1)</f>
        <v>-4000000</v>
      </c>
      <c r="AE3" s="1">
        <f>SUMIFS($G:$G,$A:$A,$AA3,$B:$B,AE$1)</f>
        <v>1120000</v>
      </c>
      <c r="AF3" s="1"/>
      <c r="AG3" s="4" t="str">
        <f t="shared" ref="AG3:AG20" si="5">_xlfn.TEXTAFTER(_xlfn.TEXTAFTER(AA3,"__"),"_")</f>
        <v>mprestamos_hipotecarios</v>
      </c>
    </row>
    <row r="4" spans="1:33" x14ac:dyDescent="0.25">
      <c r="A4" s="2" t="s">
        <v>24</v>
      </c>
      <c r="B4">
        <v>202104</v>
      </c>
      <c r="C4">
        <v>2147180000</v>
      </c>
      <c r="D4">
        <v>8539</v>
      </c>
      <c r="E4">
        <v>5.22525058439094</v>
      </c>
      <c r="F4" s="1">
        <v>352360000</v>
      </c>
      <c r="G4" s="1">
        <f t="shared" si="2"/>
        <v>2240000</v>
      </c>
      <c r="H4">
        <v>10929</v>
      </c>
      <c r="L4">
        <v>202106</v>
      </c>
      <c r="M4" s="1">
        <v>326440000</v>
      </c>
      <c r="S4" t="s">
        <v>23</v>
      </c>
      <c r="T4" s="1">
        <f t="shared" si="0"/>
        <v>1400000</v>
      </c>
      <c r="U4" s="1">
        <f t="shared" si="3"/>
        <v>1920000</v>
      </c>
      <c r="V4" s="1">
        <f t="shared" si="1"/>
        <v>-940000</v>
      </c>
      <c r="W4" s="1">
        <f t="shared" si="1"/>
        <v>420000</v>
      </c>
      <c r="AA4" t="s">
        <v>51</v>
      </c>
      <c r="AB4" s="1">
        <v>-3080000</v>
      </c>
      <c r="AC4" s="1">
        <f t="shared" si="4"/>
        <v>-280000</v>
      </c>
      <c r="AD4" s="1">
        <f>SUMIFS($G:$G,$A:$A,$AA4,$B:$B,AD$1)</f>
        <v>-4000000</v>
      </c>
      <c r="AE4" s="1">
        <f>SUMIFS($G:$G,$A:$A,$AA4,$B:$B,AE$1)</f>
        <v>1200000</v>
      </c>
      <c r="AF4" s="1"/>
      <c r="AG4" s="4" t="str">
        <f t="shared" si="5"/>
        <v>mforex_sell</v>
      </c>
    </row>
    <row r="5" spans="1:33" x14ac:dyDescent="0.25">
      <c r="A5" s="2" t="s">
        <v>23</v>
      </c>
      <c r="B5">
        <v>202104</v>
      </c>
      <c r="C5">
        <v>2147380000</v>
      </c>
      <c r="D5">
        <v>8510</v>
      </c>
      <c r="E5">
        <v>5.2075046812468599</v>
      </c>
      <c r="F5" s="1">
        <v>352040000</v>
      </c>
      <c r="G5" s="1">
        <f t="shared" si="2"/>
        <v>1920000</v>
      </c>
      <c r="H5">
        <v>10265</v>
      </c>
      <c r="S5" t="s">
        <v>28</v>
      </c>
      <c r="T5" s="1">
        <f t="shared" si="0"/>
        <v>660000</v>
      </c>
      <c r="U5" s="1">
        <f t="shared" si="3"/>
        <v>3820000</v>
      </c>
      <c r="V5" s="1">
        <f t="shared" si="1"/>
        <v>-3400000</v>
      </c>
      <c r="W5" s="1">
        <f t="shared" si="1"/>
        <v>240000</v>
      </c>
      <c r="AA5" t="s">
        <v>41</v>
      </c>
      <c r="AB5" s="1">
        <v>-2220000</v>
      </c>
      <c r="AC5" s="1">
        <f t="shared" si="4"/>
        <v>1360000</v>
      </c>
      <c r="AD5" s="1">
        <f>SUMIFS($G:$G,$A:$A,$AA5,$B:$B,AD$1)</f>
        <v>-3080000</v>
      </c>
      <c r="AE5" s="1">
        <f>SUMIFS($G:$G,$A:$A,$AA5,$B:$B,AE$1)</f>
        <v>-500000</v>
      </c>
      <c r="AF5" s="1"/>
      <c r="AG5" s="4" t="str">
        <f t="shared" si="5"/>
        <v>ctarjeta_debito</v>
      </c>
    </row>
    <row r="6" spans="1:33" x14ac:dyDescent="0.25">
      <c r="A6" s="2" t="s">
        <v>22</v>
      </c>
      <c r="B6">
        <v>202104</v>
      </c>
      <c r="C6">
        <v>2147200000</v>
      </c>
      <c r="D6">
        <v>8589</v>
      </c>
      <c r="E6">
        <v>5.2558469691221203</v>
      </c>
      <c r="F6" s="1">
        <v>352040000</v>
      </c>
      <c r="G6" s="1">
        <f t="shared" si="2"/>
        <v>1920000</v>
      </c>
      <c r="H6">
        <v>10693</v>
      </c>
      <c r="S6" t="s">
        <v>14</v>
      </c>
      <c r="T6" s="1">
        <f t="shared" si="0"/>
        <v>460000</v>
      </c>
      <c r="U6" s="1">
        <f t="shared" si="3"/>
        <v>540000</v>
      </c>
      <c r="V6" s="1">
        <f t="shared" si="1"/>
        <v>-1840000</v>
      </c>
      <c r="W6" s="1">
        <f t="shared" si="1"/>
        <v>1760000</v>
      </c>
      <c r="AA6" t="s">
        <v>43</v>
      </c>
      <c r="AB6" s="1">
        <v>-2180000</v>
      </c>
      <c r="AC6" s="1">
        <f t="shared" si="4"/>
        <v>1200000</v>
      </c>
      <c r="AD6" s="1">
        <f>SUMIFS($G:$G,$A:$A,$AA6,$B:$B,AD$1)</f>
        <v>-1180000</v>
      </c>
      <c r="AE6" s="1">
        <f>SUMIFS($G:$G,$A:$A,$AA6,$B:$B,AE$1)</f>
        <v>-2200000</v>
      </c>
      <c r="AF6" s="1"/>
      <c r="AG6" t="str">
        <f t="shared" si="5"/>
        <v>cprestamos_hipotecarios</v>
      </c>
    </row>
    <row r="7" spans="1:33" x14ac:dyDescent="0.25">
      <c r="A7" s="2" t="s">
        <v>26</v>
      </c>
      <c r="B7">
        <v>202104</v>
      </c>
      <c r="C7">
        <v>2147480000</v>
      </c>
      <c r="D7">
        <v>8730</v>
      </c>
      <c r="E7">
        <v>5.34212877406405</v>
      </c>
      <c r="F7" s="1">
        <v>352020000</v>
      </c>
      <c r="G7" s="1">
        <f t="shared" si="2"/>
        <v>1900000</v>
      </c>
      <c r="H7">
        <v>11086</v>
      </c>
      <c r="S7" t="s">
        <v>21</v>
      </c>
      <c r="T7">
        <f t="shared" si="0"/>
        <v>420000</v>
      </c>
      <c r="U7" s="1">
        <f t="shared" si="3"/>
        <v>1840000</v>
      </c>
      <c r="V7" s="1">
        <f t="shared" si="1"/>
        <v>-2140000</v>
      </c>
      <c r="W7" s="1">
        <f t="shared" si="1"/>
        <v>720000</v>
      </c>
      <c r="AA7" t="s">
        <v>45</v>
      </c>
      <c r="AB7" s="1">
        <v>-1280000</v>
      </c>
      <c r="AC7" s="1">
        <f t="shared" si="4"/>
        <v>900000</v>
      </c>
      <c r="AD7" s="1">
        <f>SUMIFS($G:$G,$A:$A,$AA7,$B:$B,AD$1)</f>
        <v>-780000</v>
      </c>
      <c r="AE7" s="1">
        <f>SUMIFS($G:$G,$A:$A,$AA7,$B:$B,AE$1)</f>
        <v>-1400000</v>
      </c>
      <c r="AF7" s="1"/>
      <c r="AG7" t="str">
        <f t="shared" si="5"/>
        <v>ccaja_ahorro</v>
      </c>
    </row>
    <row r="8" spans="1:33" x14ac:dyDescent="0.25">
      <c r="A8" s="2" t="s">
        <v>21</v>
      </c>
      <c r="B8">
        <v>202104</v>
      </c>
      <c r="C8">
        <v>2147240000</v>
      </c>
      <c r="D8">
        <v>8769</v>
      </c>
      <c r="E8">
        <v>5.3659939541543702</v>
      </c>
      <c r="F8" s="1">
        <v>351960000</v>
      </c>
      <c r="G8" s="1">
        <f t="shared" si="2"/>
        <v>1840000</v>
      </c>
      <c r="H8">
        <v>10821</v>
      </c>
      <c r="S8" t="s">
        <v>16</v>
      </c>
      <c r="T8" s="1">
        <f t="shared" si="0"/>
        <v>320000</v>
      </c>
      <c r="U8" s="1">
        <f t="shared" si="3"/>
        <v>1280000</v>
      </c>
      <c r="V8" s="1">
        <f t="shared" si="1"/>
        <v>-1320000</v>
      </c>
      <c r="W8" s="1">
        <f t="shared" si="1"/>
        <v>360000</v>
      </c>
      <c r="AA8" t="s">
        <v>46</v>
      </c>
      <c r="AB8" s="1">
        <v>-1180000</v>
      </c>
      <c r="AC8" s="1">
        <f t="shared" si="4"/>
        <v>900000</v>
      </c>
      <c r="AD8" s="1">
        <f>SUMIFS($G:$G,$A:$A,$AA8,$B:$B,AD$1)</f>
        <v>-2140000</v>
      </c>
      <c r="AE8" s="1">
        <f>SUMIFS($G:$G,$A:$A,$AA8,$B:$B,AE$1)</f>
        <v>60000</v>
      </c>
      <c r="AF8" s="1"/>
      <c r="AG8" t="str">
        <f t="shared" si="5"/>
        <v>cforex_sell</v>
      </c>
    </row>
    <row r="9" spans="1:33" x14ac:dyDescent="0.25">
      <c r="A9" s="2" t="s">
        <v>16</v>
      </c>
      <c r="B9">
        <v>202104</v>
      </c>
      <c r="C9">
        <v>2147080000</v>
      </c>
      <c r="D9">
        <v>8600</v>
      </c>
      <c r="E9">
        <v>5.2625781737629804</v>
      </c>
      <c r="F9" s="1">
        <v>351400000</v>
      </c>
      <c r="G9" s="1">
        <f t="shared" si="2"/>
        <v>1280000</v>
      </c>
      <c r="H9">
        <v>11305</v>
      </c>
      <c r="S9" t="s">
        <v>0</v>
      </c>
      <c r="T9" s="1">
        <f t="shared" si="0"/>
        <v>0</v>
      </c>
      <c r="U9" s="1">
        <f t="shared" si="3"/>
        <v>0</v>
      </c>
      <c r="V9" s="1">
        <f t="shared" si="1"/>
        <v>0</v>
      </c>
      <c r="W9" s="1">
        <f t="shared" si="1"/>
        <v>0</v>
      </c>
      <c r="AA9" t="s">
        <v>39</v>
      </c>
      <c r="AB9" s="1">
        <v>-880000</v>
      </c>
      <c r="AC9" s="1">
        <f t="shared" si="4"/>
        <v>2540000</v>
      </c>
      <c r="AD9" s="1">
        <f>SUMIFS($G:$G,$A:$A,$AA9,$B:$B,AD$1)</f>
        <v>-1700000</v>
      </c>
      <c r="AE9" s="1">
        <f>SUMIFS($G:$G,$A:$A,$AA9,$B:$B,AE$1)</f>
        <v>-1720000</v>
      </c>
      <c r="AF9" s="1"/>
      <c r="AG9" t="str">
        <f t="shared" si="5"/>
        <v>mcaja_ahorro_dolares</v>
      </c>
    </row>
    <row r="10" spans="1:33" x14ac:dyDescent="0.25">
      <c r="A10" s="3" t="s">
        <v>30</v>
      </c>
      <c r="B10">
        <v>202104</v>
      </c>
      <c r="C10">
        <v>2147240000</v>
      </c>
      <c r="D10">
        <v>9024</v>
      </c>
      <c r="E10">
        <v>5.5220355162833901</v>
      </c>
      <c r="F10" s="1">
        <v>351360000</v>
      </c>
      <c r="G10" s="1">
        <f t="shared" si="2"/>
        <v>1240000</v>
      </c>
      <c r="H10">
        <v>10063</v>
      </c>
      <c r="S10" t="s">
        <v>34</v>
      </c>
      <c r="T10" s="1">
        <f t="shared" si="0"/>
        <v>0</v>
      </c>
      <c r="U10" s="1">
        <f t="shared" si="3"/>
        <v>0</v>
      </c>
      <c r="V10" s="1">
        <f t="shared" si="1"/>
        <v>0</v>
      </c>
      <c r="W10" s="1">
        <f t="shared" si="1"/>
        <v>0</v>
      </c>
      <c r="AA10" t="s">
        <v>38</v>
      </c>
      <c r="AB10" s="1">
        <v>-740000</v>
      </c>
      <c r="AC10" s="1">
        <f t="shared" si="4"/>
        <v>2560000</v>
      </c>
      <c r="AD10" s="1">
        <f>SUMIFS($G:$G,$A:$A,$AA10,$B:$B,AD$1)</f>
        <v>-2180000</v>
      </c>
      <c r="AE10" s="1">
        <f>SUMIFS($G:$G,$A:$A,$AA10,$B:$B,AE$1)</f>
        <v>-1120000</v>
      </c>
      <c r="AF10" s="1"/>
      <c r="AG10" t="str">
        <f t="shared" si="5"/>
        <v>mcomisiones</v>
      </c>
    </row>
    <row r="11" spans="1:33" x14ac:dyDescent="0.25">
      <c r="A11" s="3" t="s">
        <v>33</v>
      </c>
      <c r="B11">
        <v>202104</v>
      </c>
      <c r="C11">
        <v>2147480000</v>
      </c>
      <c r="D11">
        <v>8446</v>
      </c>
      <c r="E11">
        <v>5.16834130879095</v>
      </c>
      <c r="F11" s="1">
        <v>350960000</v>
      </c>
      <c r="G11" s="1">
        <f t="shared" si="2"/>
        <v>840000</v>
      </c>
      <c r="H11">
        <v>10115</v>
      </c>
      <c r="S11" t="s">
        <v>17</v>
      </c>
      <c r="T11" s="1">
        <f t="shared" si="0"/>
        <v>-160000</v>
      </c>
      <c r="U11" s="1">
        <f t="shared" si="3"/>
        <v>620000</v>
      </c>
      <c r="V11" s="1">
        <f t="shared" si="1"/>
        <v>-640000</v>
      </c>
      <c r="W11" s="1">
        <f t="shared" si="1"/>
        <v>-140000</v>
      </c>
      <c r="AA11" t="s">
        <v>42</v>
      </c>
      <c r="AB11" s="1">
        <v>460000</v>
      </c>
      <c r="AC11" s="1">
        <f t="shared" si="4"/>
        <v>1320000</v>
      </c>
      <c r="AD11" s="1">
        <f>SUMIFS($G:$G,$A:$A,$AA11,$B:$B,AD$1)</f>
        <v>-2600000</v>
      </c>
      <c r="AE11" s="1">
        <f>SUMIFS($G:$G,$A:$A,$AA11,$B:$B,AE$1)</f>
        <v>1740000</v>
      </c>
      <c r="AF11" s="1"/>
      <c r="AG11" t="str">
        <f t="shared" si="5"/>
        <v>mcomisiones_otras</v>
      </c>
    </row>
    <row r="12" spans="1:33" x14ac:dyDescent="0.25">
      <c r="A12" s="3" t="s">
        <v>15</v>
      </c>
      <c r="B12">
        <v>202104</v>
      </c>
      <c r="C12">
        <v>2147480000</v>
      </c>
      <c r="D12">
        <v>8562</v>
      </c>
      <c r="E12">
        <v>5.2393249213672899</v>
      </c>
      <c r="F12" s="1">
        <v>350960000</v>
      </c>
      <c r="G12" s="1">
        <f t="shared" si="2"/>
        <v>840000</v>
      </c>
      <c r="H12">
        <v>10387</v>
      </c>
      <c r="S12" t="s">
        <v>12</v>
      </c>
      <c r="T12" s="1">
        <f t="shared" si="0"/>
        <v>-760000</v>
      </c>
      <c r="U12" s="1">
        <f t="shared" si="3"/>
        <v>-620000</v>
      </c>
      <c r="V12" s="1">
        <f t="shared" si="1"/>
        <v>-500000</v>
      </c>
      <c r="W12" s="1">
        <f t="shared" si="1"/>
        <v>360000</v>
      </c>
      <c r="AA12" t="s">
        <v>44</v>
      </c>
      <c r="AB12" s="1">
        <v>600000</v>
      </c>
      <c r="AC12" s="1">
        <f t="shared" si="4"/>
        <v>1140000</v>
      </c>
      <c r="AD12" s="1">
        <f>SUMIFS($G:$G,$A:$A,$AA12,$B:$B,AD$1)</f>
        <v>-440000</v>
      </c>
      <c r="AE12" s="1">
        <f>SUMIFS($G:$G,$A:$A,$AA12,$B:$B,AE$1)</f>
        <v>-100000</v>
      </c>
      <c r="AF12" s="1"/>
      <c r="AG12" t="str">
        <f t="shared" si="5"/>
        <v>cforex_buy</v>
      </c>
    </row>
    <row r="13" spans="1:33" x14ac:dyDescent="0.25">
      <c r="A13" s="3" t="s">
        <v>17</v>
      </c>
      <c r="B13">
        <v>202104</v>
      </c>
      <c r="C13">
        <v>2147100000</v>
      </c>
      <c r="D13">
        <v>8597</v>
      </c>
      <c r="E13">
        <v>5.26074239067911</v>
      </c>
      <c r="F13" s="1">
        <v>350740000</v>
      </c>
      <c r="G13" s="1">
        <f t="shared" si="2"/>
        <v>620000</v>
      </c>
      <c r="H13">
        <v>9658</v>
      </c>
      <c r="S13" t="s">
        <v>20</v>
      </c>
      <c r="T13" s="1">
        <f t="shared" si="0"/>
        <v>-820000</v>
      </c>
      <c r="U13" s="1">
        <f t="shared" si="3"/>
        <v>-160000</v>
      </c>
      <c r="V13" s="1">
        <f t="shared" si="1"/>
        <v>-1780000</v>
      </c>
      <c r="W13" s="1">
        <f t="shared" si="1"/>
        <v>1120000</v>
      </c>
      <c r="AA13" t="s">
        <v>50</v>
      </c>
      <c r="AB13" s="1">
        <v>1040000</v>
      </c>
      <c r="AC13" s="1">
        <f t="shared" si="4"/>
        <v>120000</v>
      </c>
      <c r="AD13" s="1">
        <f>SUMIFS($G:$G,$A:$A,$AA13,$B:$B,AD$1)</f>
        <v>-1600000</v>
      </c>
      <c r="AE13" s="1">
        <f>SUMIFS($G:$G,$A:$A,$AA13,$B:$B,AE$1)</f>
        <v>2520000</v>
      </c>
      <c r="AF13" s="1"/>
      <c r="AG13" t="str">
        <f t="shared" si="5"/>
        <v>mprestamos_prendarios</v>
      </c>
    </row>
    <row r="14" spans="1:33" x14ac:dyDescent="0.25">
      <c r="A14" s="3" t="s">
        <v>14</v>
      </c>
      <c r="B14">
        <v>202104</v>
      </c>
      <c r="C14">
        <v>2147480000</v>
      </c>
      <c r="D14">
        <v>8538</v>
      </c>
      <c r="E14">
        <v>5.2246386566963201</v>
      </c>
      <c r="F14" s="1">
        <v>350660000</v>
      </c>
      <c r="G14" s="1">
        <f t="shared" si="2"/>
        <v>540000</v>
      </c>
      <c r="H14">
        <v>11042</v>
      </c>
      <c r="S14" t="s">
        <v>24</v>
      </c>
      <c r="T14" s="1">
        <f t="shared" si="0"/>
        <v>-1260000</v>
      </c>
      <c r="U14" s="1">
        <f t="shared" si="3"/>
        <v>2240000</v>
      </c>
      <c r="V14" s="1">
        <f t="shared" si="1"/>
        <v>-2880000</v>
      </c>
      <c r="W14" s="1">
        <f t="shared" si="1"/>
        <v>-620000</v>
      </c>
      <c r="AA14" t="s">
        <v>48</v>
      </c>
      <c r="AB14" s="1">
        <v>1100000</v>
      </c>
      <c r="AC14" s="1">
        <f t="shared" si="4"/>
        <v>380000</v>
      </c>
      <c r="AD14" s="1">
        <f>SUMIFS($G:$G,$A:$A,$AA14,$B:$B,AD$1)</f>
        <v>-2380000</v>
      </c>
      <c r="AE14" s="1">
        <f>SUMIFS($G:$G,$A:$A,$AA14,$B:$B,AE$1)</f>
        <v>3100000</v>
      </c>
      <c r="AF14" s="1"/>
      <c r="AG14" t="str">
        <f t="shared" si="5"/>
        <v>mcaja_ahorro_adicional</v>
      </c>
    </row>
    <row r="15" spans="1:33" x14ac:dyDescent="0.25">
      <c r="A15" s="3" t="s">
        <v>10</v>
      </c>
      <c r="B15">
        <v>202104</v>
      </c>
      <c r="C15">
        <v>2147460000</v>
      </c>
      <c r="D15">
        <v>8648</v>
      </c>
      <c r="E15">
        <v>5.29195070310492</v>
      </c>
      <c r="F15" s="1">
        <v>350660000</v>
      </c>
      <c r="G15" s="1">
        <f t="shared" si="2"/>
        <v>540000</v>
      </c>
      <c r="H15">
        <v>11210</v>
      </c>
      <c r="S15" t="s">
        <v>30</v>
      </c>
      <c r="T15" s="1">
        <f t="shared" si="0"/>
        <v>-1840000</v>
      </c>
      <c r="U15" s="1">
        <f t="shared" si="3"/>
        <v>1240000</v>
      </c>
      <c r="V15" s="1">
        <f t="shared" si="1"/>
        <v>-300000</v>
      </c>
      <c r="W15" s="1">
        <f t="shared" si="1"/>
        <v>-2780000</v>
      </c>
      <c r="AA15" t="s">
        <v>53</v>
      </c>
      <c r="AB15" s="1">
        <v>1120000</v>
      </c>
      <c r="AC15" s="1">
        <f t="shared" si="4"/>
        <v>-680000</v>
      </c>
      <c r="AD15" s="1">
        <f>SUMIFS($G:$G,$A:$A,$AA15,$B:$B,AD$1)</f>
        <v>-820000</v>
      </c>
      <c r="AE15" s="1">
        <f>SUMIFS($G:$G,$A:$A,$AA15,$B:$B,AE$1)</f>
        <v>2620000</v>
      </c>
      <c r="AF15" s="1"/>
      <c r="AG15" t="str">
        <f t="shared" si="5"/>
        <v>cforex</v>
      </c>
    </row>
    <row r="16" spans="1:33" x14ac:dyDescent="0.25">
      <c r="A16" s="3" t="s">
        <v>11</v>
      </c>
      <c r="B16">
        <v>202104</v>
      </c>
      <c r="C16">
        <v>2147360000</v>
      </c>
      <c r="D16">
        <v>8741</v>
      </c>
      <c r="E16">
        <v>5.34885997870491</v>
      </c>
      <c r="F16" s="1">
        <v>350160000</v>
      </c>
      <c r="G16" s="1">
        <f t="shared" si="2"/>
        <v>40000</v>
      </c>
      <c r="H16">
        <v>10027</v>
      </c>
      <c r="S16" t="s">
        <v>22</v>
      </c>
      <c r="T16" s="1">
        <f t="shared" si="0"/>
        <v>-2440000</v>
      </c>
      <c r="U16" s="1">
        <f t="shared" si="3"/>
        <v>1920000</v>
      </c>
      <c r="V16" s="1">
        <f t="shared" si="1"/>
        <v>-1460000</v>
      </c>
      <c r="W16" s="1">
        <f t="shared" si="1"/>
        <v>-2900000</v>
      </c>
      <c r="AA16" t="s">
        <v>55</v>
      </c>
      <c r="AB16" s="1">
        <v>1180000</v>
      </c>
      <c r="AC16" s="1">
        <f t="shared" si="4"/>
        <v>-880000</v>
      </c>
      <c r="AD16" s="1">
        <f>SUMIFS($G:$G,$A:$A,$AA16,$B:$B,AD$1)</f>
        <v>-960000</v>
      </c>
      <c r="AE16" s="1">
        <f>SUMIFS($G:$G,$A:$A,$AA16,$B:$B,AE$1)</f>
        <v>3020000</v>
      </c>
      <c r="AF16" s="1"/>
      <c r="AG16" t="str">
        <f t="shared" si="5"/>
        <v>mforex_buy</v>
      </c>
    </row>
    <row r="17" spans="1:33" x14ac:dyDescent="0.25">
      <c r="A17" t="s">
        <v>34</v>
      </c>
      <c r="B17">
        <v>202104</v>
      </c>
      <c r="C17">
        <v>2147480000</v>
      </c>
      <c r="D17">
        <v>8549</v>
      </c>
      <c r="E17">
        <v>5.2313698613371802</v>
      </c>
      <c r="F17" s="1">
        <v>350120000</v>
      </c>
      <c r="G17" s="1">
        <f t="shared" si="2"/>
        <v>0</v>
      </c>
      <c r="H17">
        <v>9521</v>
      </c>
      <c r="S17" t="s">
        <v>11</v>
      </c>
      <c r="T17" s="1">
        <f t="shared" si="0"/>
        <v>-2440000</v>
      </c>
      <c r="U17" s="1">
        <f t="shared" si="3"/>
        <v>40000</v>
      </c>
      <c r="V17" s="1">
        <f t="shared" si="1"/>
        <v>-820000</v>
      </c>
      <c r="W17" s="1">
        <f t="shared" si="1"/>
        <v>-1660000</v>
      </c>
      <c r="AA17" t="s">
        <v>40</v>
      </c>
      <c r="AB17" s="1">
        <v>1420000</v>
      </c>
      <c r="AC17" s="1">
        <f t="shared" si="4"/>
        <v>1920000</v>
      </c>
      <c r="AD17" s="1">
        <f>SUMIFS($G:$G,$A:$A,$AA17,$B:$B,AD$1)</f>
        <v>-780000</v>
      </c>
      <c r="AE17" s="1">
        <f>SUMIFS($G:$G,$A:$A,$AA17,$B:$B,AE$1)</f>
        <v>280000</v>
      </c>
      <c r="AF17" s="1"/>
      <c r="AG17" t="str">
        <f t="shared" si="5"/>
        <v>mcaja_ahorro</v>
      </c>
    </row>
    <row r="18" spans="1:33" x14ac:dyDescent="0.25">
      <c r="A18" s="3" t="s">
        <v>20</v>
      </c>
      <c r="B18">
        <v>202104</v>
      </c>
      <c r="C18">
        <v>2147480000</v>
      </c>
      <c r="D18">
        <v>8592</v>
      </c>
      <c r="E18">
        <v>5.2576827522059899</v>
      </c>
      <c r="F18" s="1">
        <v>349960000</v>
      </c>
      <c r="G18" s="1">
        <f t="shared" si="2"/>
        <v>-160000</v>
      </c>
      <c r="H18">
        <v>10741</v>
      </c>
      <c r="S18" t="s">
        <v>33</v>
      </c>
      <c r="T18" s="1">
        <f t="shared" si="0"/>
        <v>-3120000</v>
      </c>
      <c r="U18" s="1">
        <f t="shared" si="3"/>
        <v>840000</v>
      </c>
      <c r="V18" s="1">
        <f t="shared" si="1"/>
        <v>-3580000</v>
      </c>
      <c r="W18" s="1">
        <f t="shared" si="1"/>
        <v>-380000</v>
      </c>
      <c r="AA18" t="s">
        <v>49</v>
      </c>
      <c r="AB18" s="1">
        <v>1700000</v>
      </c>
      <c r="AC18" s="1">
        <f t="shared" si="4"/>
        <v>160000</v>
      </c>
      <c r="AD18" s="1">
        <f>SUMIFS($G:$G,$A:$A,$AA18,$B:$B,AD$1)</f>
        <v>-2240000</v>
      </c>
      <c r="AE18" s="1">
        <f>SUMIFS($G:$G,$A:$A,$AA18,$B:$B,AE$1)</f>
        <v>3780000</v>
      </c>
      <c r="AF18" s="1"/>
      <c r="AG18" t="str">
        <f t="shared" si="5"/>
        <v>cprestamos_prendarios</v>
      </c>
    </row>
    <row r="19" spans="1:33" x14ac:dyDescent="0.25">
      <c r="A19" t="s">
        <v>12</v>
      </c>
      <c r="B19">
        <v>202104</v>
      </c>
      <c r="C19">
        <v>2147160000</v>
      </c>
      <c r="D19">
        <v>8584</v>
      </c>
      <c r="E19">
        <v>5.25278733064901</v>
      </c>
      <c r="F19" s="1">
        <v>349500000</v>
      </c>
      <c r="G19" s="1">
        <f t="shared" si="2"/>
        <v>-620000</v>
      </c>
      <c r="H19">
        <v>10440</v>
      </c>
      <c r="S19" t="s">
        <v>7</v>
      </c>
      <c r="T19" s="1">
        <f t="shared" si="0"/>
        <v>-3260000</v>
      </c>
      <c r="U19" s="1">
        <f t="shared" si="3"/>
        <v>-1500000</v>
      </c>
      <c r="V19" s="1">
        <f t="shared" si="1"/>
        <v>-3680000</v>
      </c>
      <c r="W19" s="1">
        <f t="shared" si="1"/>
        <v>1920000</v>
      </c>
      <c r="AA19" t="s">
        <v>52</v>
      </c>
      <c r="AB19" s="1">
        <v>2160000</v>
      </c>
      <c r="AC19" s="1">
        <f t="shared" si="4"/>
        <v>-520000</v>
      </c>
      <c r="AD19" s="1">
        <f>SUMIFS($G:$G,$A:$A,$AA19,$B:$B,AD$1)</f>
        <v>-960000</v>
      </c>
      <c r="AE19" s="1">
        <f>SUMIFS($G:$G,$A:$A,$AA19,$B:$B,AE$1)</f>
        <v>3640000</v>
      </c>
      <c r="AF19" s="1"/>
      <c r="AG19" t="str">
        <f t="shared" si="5"/>
        <v>cprestamos_personales</v>
      </c>
    </row>
    <row r="20" spans="1:33" x14ac:dyDescent="0.25">
      <c r="A20" t="s">
        <v>29</v>
      </c>
      <c r="B20">
        <v>202104</v>
      </c>
      <c r="C20">
        <v>2147480000</v>
      </c>
      <c r="D20">
        <v>8798</v>
      </c>
      <c r="E20">
        <v>5.3837398572984601</v>
      </c>
      <c r="F20" s="1">
        <v>349380000</v>
      </c>
      <c r="G20" s="1">
        <f t="shared" si="2"/>
        <v>-740000</v>
      </c>
      <c r="H20">
        <v>10510</v>
      </c>
      <c r="S20" t="s">
        <v>15</v>
      </c>
      <c r="T20" s="1">
        <f t="shared" si="0"/>
        <v>-4080000</v>
      </c>
      <c r="U20" s="1">
        <f t="shared" si="3"/>
        <v>840000</v>
      </c>
      <c r="V20" s="1">
        <f t="shared" si="1"/>
        <v>-3720000</v>
      </c>
      <c r="W20" s="1">
        <f t="shared" si="1"/>
        <v>-1200000</v>
      </c>
      <c r="AA20" t="s">
        <v>47</v>
      </c>
      <c r="AB20" s="1">
        <v>3040000</v>
      </c>
      <c r="AC20" s="1">
        <f t="shared" si="4"/>
        <v>400000</v>
      </c>
      <c r="AD20" s="1">
        <f>SUMIFS($G:$G,$A:$A,$AA20,$B:$B,AD$1)</f>
        <v>40000</v>
      </c>
      <c r="AE20" s="1">
        <f>SUMIFS($G:$G,$A:$A,$AA20,$B:$B,AE$1)</f>
        <v>2600000</v>
      </c>
      <c r="AF20" s="1"/>
      <c r="AG20" t="str">
        <f t="shared" si="5"/>
        <v>ccomisiones_otras</v>
      </c>
    </row>
    <row r="21" spans="1:33" x14ac:dyDescent="0.25">
      <c r="A21" t="s">
        <v>32</v>
      </c>
      <c r="B21">
        <v>202104</v>
      </c>
      <c r="C21">
        <v>2147480000</v>
      </c>
      <c r="D21">
        <v>8556</v>
      </c>
      <c r="E21">
        <v>5.2356533551995499</v>
      </c>
      <c r="F21" s="1">
        <v>348960000</v>
      </c>
      <c r="G21" s="1">
        <f t="shared" si="2"/>
        <v>-1160000</v>
      </c>
      <c r="H21">
        <v>10147</v>
      </c>
      <c r="S21" t="s">
        <v>19</v>
      </c>
      <c r="T21" s="1">
        <f t="shared" si="0"/>
        <v>-5260000</v>
      </c>
      <c r="U21" s="1">
        <f t="shared" si="3"/>
        <v>-1200000</v>
      </c>
      <c r="V21" s="1">
        <f t="shared" si="1"/>
        <v>-3820000</v>
      </c>
      <c r="W21" s="1">
        <f t="shared" si="1"/>
        <v>-240000</v>
      </c>
    </row>
    <row r="22" spans="1:33" x14ac:dyDescent="0.25">
      <c r="A22" t="s">
        <v>19</v>
      </c>
      <c r="B22">
        <v>202104</v>
      </c>
      <c r="C22">
        <v>2147240000</v>
      </c>
      <c r="D22">
        <v>8639</v>
      </c>
      <c r="E22">
        <v>5.2864433538532998</v>
      </c>
      <c r="F22" s="1">
        <v>348920000</v>
      </c>
      <c r="G22" s="1">
        <f t="shared" si="2"/>
        <v>-1200000</v>
      </c>
      <c r="H22">
        <v>11369</v>
      </c>
      <c r="S22" t="s">
        <v>26</v>
      </c>
      <c r="T22" s="1">
        <f t="shared" si="0"/>
        <v>-6160000</v>
      </c>
      <c r="U22" s="1">
        <f t="shared" si="3"/>
        <v>1900000</v>
      </c>
      <c r="V22" s="1">
        <f t="shared" si="1"/>
        <v>-3420000</v>
      </c>
      <c r="W22" s="1">
        <f t="shared" si="1"/>
        <v>-4640000</v>
      </c>
    </row>
    <row r="23" spans="1:33" x14ac:dyDescent="0.25">
      <c r="A23" t="s">
        <v>8</v>
      </c>
      <c r="B23">
        <v>202104</v>
      </c>
      <c r="C23">
        <v>2147480000</v>
      </c>
      <c r="D23">
        <v>8525</v>
      </c>
      <c r="E23">
        <v>5.2166835966662104</v>
      </c>
      <c r="F23" s="1">
        <v>348700000</v>
      </c>
      <c r="G23" s="1">
        <f t="shared" si="2"/>
        <v>-1420000</v>
      </c>
      <c r="H23">
        <v>10192</v>
      </c>
      <c r="S23" t="s">
        <v>29</v>
      </c>
      <c r="T23" s="1">
        <f t="shared" si="0"/>
        <v>-6320000</v>
      </c>
      <c r="U23" s="1">
        <f t="shared" si="3"/>
        <v>-740000</v>
      </c>
      <c r="V23" s="1">
        <f t="shared" si="1"/>
        <v>-4380000</v>
      </c>
      <c r="W23" s="1">
        <f t="shared" si="1"/>
        <v>-1200000</v>
      </c>
    </row>
    <row r="24" spans="1:33" x14ac:dyDescent="0.25">
      <c r="A24" t="s">
        <v>7</v>
      </c>
      <c r="B24">
        <v>202104</v>
      </c>
      <c r="C24">
        <v>2147480000</v>
      </c>
      <c r="D24">
        <v>8721</v>
      </c>
      <c r="E24">
        <v>5.3366214248124404</v>
      </c>
      <c r="F24" s="1">
        <v>348620000</v>
      </c>
      <c r="G24" s="1">
        <f t="shared" si="2"/>
        <v>-1500000</v>
      </c>
      <c r="H24">
        <v>10760</v>
      </c>
      <c r="S24" t="s">
        <v>10</v>
      </c>
      <c r="T24" s="1">
        <f t="shared" si="0"/>
        <v>-6380000</v>
      </c>
      <c r="U24" s="1">
        <f t="shared" si="3"/>
        <v>540000</v>
      </c>
      <c r="V24" s="1">
        <f t="shared" si="1"/>
        <v>-4840000</v>
      </c>
      <c r="W24" s="1">
        <f t="shared" si="1"/>
        <v>-2080000</v>
      </c>
    </row>
    <row r="25" spans="1:33" x14ac:dyDescent="0.25">
      <c r="A25" t="s">
        <v>18</v>
      </c>
      <c r="B25">
        <v>202104</v>
      </c>
      <c r="C25">
        <v>2147280000</v>
      </c>
      <c r="D25">
        <v>8617</v>
      </c>
      <c r="E25">
        <v>5.2729809445715796</v>
      </c>
      <c r="F25" s="1">
        <v>348540000</v>
      </c>
      <c r="G25" s="1">
        <f t="shared" si="2"/>
        <v>-1580000</v>
      </c>
      <c r="H25">
        <v>10268</v>
      </c>
      <c r="S25" t="s">
        <v>18</v>
      </c>
      <c r="T25" s="1">
        <f t="shared" si="0"/>
        <v>-6700000</v>
      </c>
      <c r="U25" s="1">
        <f t="shared" si="3"/>
        <v>-1580000</v>
      </c>
      <c r="V25" s="1">
        <f t="shared" si="1"/>
        <v>-3980000</v>
      </c>
      <c r="W25" s="1">
        <f t="shared" si="1"/>
        <v>-1140000</v>
      </c>
    </row>
    <row r="26" spans="1:33" x14ac:dyDescent="0.25">
      <c r="A26" t="s">
        <v>27</v>
      </c>
      <c r="B26">
        <v>202104</v>
      </c>
      <c r="C26">
        <v>2147360000</v>
      </c>
      <c r="D26">
        <v>9436</v>
      </c>
      <c r="E26">
        <v>5.7741497264683197</v>
      </c>
      <c r="F26" s="1">
        <v>347440000</v>
      </c>
      <c r="G26" s="1">
        <f t="shared" si="2"/>
        <v>-2680000</v>
      </c>
      <c r="H26">
        <v>9987</v>
      </c>
      <c r="S26" t="s">
        <v>32</v>
      </c>
      <c r="T26" s="1">
        <f t="shared" si="0"/>
        <v>-7080000</v>
      </c>
      <c r="U26" s="1">
        <f t="shared" si="3"/>
        <v>-1160000</v>
      </c>
      <c r="V26" s="1">
        <f t="shared" si="1"/>
        <v>-2780000</v>
      </c>
      <c r="W26" s="1">
        <f t="shared" si="1"/>
        <v>-3140000</v>
      </c>
    </row>
    <row r="27" spans="1:33" x14ac:dyDescent="0.25">
      <c r="A27" t="s">
        <v>9</v>
      </c>
      <c r="B27">
        <v>202104</v>
      </c>
      <c r="C27">
        <v>2147480000</v>
      </c>
      <c r="D27">
        <v>8460</v>
      </c>
      <c r="E27">
        <v>5.1769082965156796</v>
      </c>
      <c r="F27" s="1">
        <v>338880000</v>
      </c>
      <c r="G27" s="1">
        <f t="shared" si="2"/>
        <v>-11240000</v>
      </c>
      <c r="H27">
        <v>8583</v>
      </c>
      <c r="S27" t="s">
        <v>27</v>
      </c>
      <c r="T27" s="1">
        <f t="shared" si="0"/>
        <v>-10100000</v>
      </c>
      <c r="U27" s="1">
        <f t="shared" si="3"/>
        <v>-2680000</v>
      </c>
      <c r="V27" s="1">
        <f t="shared" si="1"/>
        <v>40000</v>
      </c>
      <c r="W27" s="1">
        <f t="shared" si="1"/>
        <v>-7460000</v>
      </c>
    </row>
    <row r="28" spans="1:33" x14ac:dyDescent="0.25">
      <c r="A28" t="s">
        <v>25</v>
      </c>
      <c r="B28">
        <v>202104</v>
      </c>
      <c r="C28">
        <v>2147160000</v>
      </c>
      <c r="D28">
        <v>8868</v>
      </c>
      <c r="E28">
        <v>5.42657479592211</v>
      </c>
      <c r="F28" s="1">
        <v>333660000</v>
      </c>
      <c r="G28" s="1">
        <f t="shared" si="2"/>
        <v>-16460000</v>
      </c>
      <c r="H28">
        <v>10476</v>
      </c>
      <c r="S28" t="s">
        <v>8</v>
      </c>
      <c r="T28" s="1">
        <f t="shared" si="0"/>
        <v>-10780000</v>
      </c>
      <c r="U28" s="1">
        <f t="shared" si="3"/>
        <v>-1420000</v>
      </c>
      <c r="V28" s="1">
        <f t="shared" si="1"/>
        <v>-5180000</v>
      </c>
      <c r="W28" s="1">
        <f t="shared" si="1"/>
        <v>-4180000</v>
      </c>
    </row>
    <row r="29" spans="1:33" x14ac:dyDescent="0.25">
      <c r="A29" t="s">
        <v>13</v>
      </c>
      <c r="B29">
        <v>202104</v>
      </c>
      <c r="C29">
        <v>2147280000</v>
      </c>
      <c r="D29">
        <v>8930</v>
      </c>
      <c r="E29">
        <v>5.4645143129887703</v>
      </c>
      <c r="F29" s="1">
        <v>333240000</v>
      </c>
      <c r="G29" s="1">
        <f t="shared" si="2"/>
        <v>-16880000</v>
      </c>
      <c r="H29">
        <v>11581</v>
      </c>
      <c r="S29" t="s">
        <v>25</v>
      </c>
      <c r="T29" s="1">
        <f t="shared" si="0"/>
        <v>-39540000</v>
      </c>
      <c r="U29" s="1">
        <f t="shared" si="3"/>
        <v>-16460000</v>
      </c>
      <c r="V29" s="1">
        <f t="shared" si="1"/>
        <v>-15760000</v>
      </c>
      <c r="W29" s="1">
        <f t="shared" si="1"/>
        <v>-7320000</v>
      </c>
    </row>
    <row r="30" spans="1:33" x14ac:dyDescent="0.25">
      <c r="A30" s="2" t="s">
        <v>27</v>
      </c>
      <c r="B30">
        <v>202105</v>
      </c>
      <c r="C30">
        <v>2147480000</v>
      </c>
      <c r="D30">
        <v>10072</v>
      </c>
      <c r="E30">
        <v>6.1445731681277698</v>
      </c>
      <c r="F30" s="1">
        <v>193560000</v>
      </c>
      <c r="G30" s="1">
        <f t="shared" si="2"/>
        <v>40000</v>
      </c>
      <c r="H30">
        <v>8981</v>
      </c>
      <c r="S30" t="s">
        <v>9</v>
      </c>
      <c r="T30" s="1">
        <f t="shared" si="0"/>
        <v>-42720000</v>
      </c>
      <c r="U30" s="1">
        <f t="shared" si="3"/>
        <v>-11240000</v>
      </c>
      <c r="V30" s="1">
        <f t="shared" si="1"/>
        <v>-15960000</v>
      </c>
      <c r="W30" s="1">
        <f t="shared" si="1"/>
        <v>-15520000</v>
      </c>
    </row>
    <row r="31" spans="1:33" x14ac:dyDescent="0.25">
      <c r="A31" t="s">
        <v>34</v>
      </c>
      <c r="B31">
        <v>202105</v>
      </c>
      <c r="C31">
        <v>2147440000</v>
      </c>
      <c r="D31">
        <v>8903</v>
      </c>
      <c r="E31">
        <v>5.4314073586022102</v>
      </c>
      <c r="F31" s="1">
        <v>193520000</v>
      </c>
      <c r="G31" s="1">
        <f t="shared" si="2"/>
        <v>0</v>
      </c>
      <c r="H31">
        <v>9051</v>
      </c>
    </row>
    <row r="32" spans="1:33" x14ac:dyDescent="0.25">
      <c r="A32" s="2" t="s">
        <v>30</v>
      </c>
      <c r="B32">
        <v>202105</v>
      </c>
      <c r="C32">
        <v>2147480000</v>
      </c>
      <c r="D32">
        <v>9241</v>
      </c>
      <c r="E32">
        <v>5.6376092778662299</v>
      </c>
      <c r="F32" s="1">
        <v>193220000</v>
      </c>
      <c r="G32" s="1">
        <f t="shared" si="2"/>
        <v>-300000</v>
      </c>
      <c r="H32">
        <v>8826</v>
      </c>
    </row>
    <row r="33" spans="1:8" x14ac:dyDescent="0.25">
      <c r="A33" s="2" t="s">
        <v>12</v>
      </c>
      <c r="B33">
        <v>202105</v>
      </c>
      <c r="C33">
        <v>2146980000</v>
      </c>
      <c r="D33">
        <v>9143</v>
      </c>
      <c r="E33">
        <v>5.5778229225766696</v>
      </c>
      <c r="F33" s="1">
        <v>193020000</v>
      </c>
      <c r="G33" s="1">
        <f t="shared" si="2"/>
        <v>-500000</v>
      </c>
      <c r="H33">
        <v>8420</v>
      </c>
    </row>
    <row r="34" spans="1:8" x14ac:dyDescent="0.25">
      <c r="A34" s="2" t="s">
        <v>17</v>
      </c>
      <c r="B34">
        <v>202105</v>
      </c>
      <c r="C34">
        <v>2147120000</v>
      </c>
      <c r="D34">
        <v>8837</v>
      </c>
      <c r="E34">
        <v>5.3911430785092396</v>
      </c>
      <c r="F34" s="1">
        <v>192880000</v>
      </c>
      <c r="G34" s="1">
        <f t="shared" si="2"/>
        <v>-640000</v>
      </c>
      <c r="H34">
        <v>8019</v>
      </c>
    </row>
    <row r="35" spans="1:8" x14ac:dyDescent="0.25">
      <c r="A35" s="2" t="s">
        <v>11</v>
      </c>
      <c r="B35">
        <v>202105</v>
      </c>
      <c r="C35">
        <v>2147480000</v>
      </c>
      <c r="D35">
        <v>9112</v>
      </c>
      <c r="E35">
        <v>5.5589109122299698</v>
      </c>
      <c r="F35" s="1">
        <v>192700000</v>
      </c>
      <c r="G35" s="1">
        <f t="shared" si="2"/>
        <v>-820000</v>
      </c>
      <c r="H35">
        <v>8484</v>
      </c>
    </row>
    <row r="36" spans="1:8" x14ac:dyDescent="0.25">
      <c r="A36" s="2" t="s">
        <v>23</v>
      </c>
      <c r="B36">
        <v>202105</v>
      </c>
      <c r="C36">
        <v>2147420000</v>
      </c>
      <c r="D36">
        <v>8887</v>
      </c>
      <c r="E36">
        <v>5.4216463210039203</v>
      </c>
      <c r="F36" s="1">
        <v>192580000</v>
      </c>
      <c r="G36" s="1">
        <f t="shared" si="2"/>
        <v>-940000</v>
      </c>
      <c r="H36">
        <v>8346</v>
      </c>
    </row>
    <row r="37" spans="1:8" x14ac:dyDescent="0.25">
      <c r="A37" s="2" t="s">
        <v>16</v>
      </c>
      <c r="B37">
        <v>202105</v>
      </c>
      <c r="C37">
        <v>2147480000</v>
      </c>
      <c r="D37">
        <v>8956</v>
      </c>
      <c r="E37">
        <v>5.4637407956465696</v>
      </c>
      <c r="F37" s="1">
        <v>192200000</v>
      </c>
      <c r="G37" s="1">
        <f t="shared" si="2"/>
        <v>-1320000</v>
      </c>
      <c r="H37">
        <v>9265</v>
      </c>
    </row>
    <row r="38" spans="1:8" x14ac:dyDescent="0.25">
      <c r="A38" s="2" t="s">
        <v>22</v>
      </c>
      <c r="B38">
        <v>202105</v>
      </c>
      <c r="C38">
        <v>2147360000</v>
      </c>
      <c r="D38">
        <v>8952</v>
      </c>
      <c r="E38">
        <v>5.4613005362470002</v>
      </c>
      <c r="F38" s="1">
        <v>192060000</v>
      </c>
      <c r="G38" s="1">
        <f t="shared" si="2"/>
        <v>-1460000</v>
      </c>
      <c r="H38">
        <v>8828</v>
      </c>
    </row>
    <row r="39" spans="1:8" x14ac:dyDescent="0.25">
      <c r="A39" s="3" t="s">
        <v>20</v>
      </c>
      <c r="B39">
        <v>202105</v>
      </c>
      <c r="C39">
        <v>2147480000</v>
      </c>
      <c r="D39">
        <v>8885</v>
      </c>
      <c r="E39">
        <v>5.4204261913041298</v>
      </c>
      <c r="F39" s="1">
        <v>191740000</v>
      </c>
      <c r="G39" s="1">
        <f t="shared" si="2"/>
        <v>-1780000</v>
      </c>
      <c r="H39">
        <v>8680</v>
      </c>
    </row>
    <row r="40" spans="1:8" x14ac:dyDescent="0.25">
      <c r="A40" s="3" t="s">
        <v>14</v>
      </c>
      <c r="B40">
        <v>202105</v>
      </c>
      <c r="C40">
        <v>2147480000</v>
      </c>
      <c r="D40">
        <v>8936</v>
      </c>
      <c r="E40">
        <v>5.4515394986486996</v>
      </c>
      <c r="F40" s="1">
        <v>191680000</v>
      </c>
      <c r="G40" s="1">
        <f t="shared" si="2"/>
        <v>-1840000</v>
      </c>
      <c r="H40">
        <v>8359</v>
      </c>
    </row>
    <row r="41" spans="1:8" x14ac:dyDescent="0.25">
      <c r="A41" s="3" t="s">
        <v>31</v>
      </c>
      <c r="B41">
        <v>202105</v>
      </c>
      <c r="C41">
        <v>2147480000</v>
      </c>
      <c r="D41">
        <v>8982</v>
      </c>
      <c r="E41">
        <v>5.4796024817438003</v>
      </c>
      <c r="F41" s="1">
        <v>191660000</v>
      </c>
      <c r="G41" s="1">
        <f t="shared" si="2"/>
        <v>-1860000</v>
      </c>
      <c r="H41">
        <v>8744</v>
      </c>
    </row>
    <row r="42" spans="1:8" x14ac:dyDescent="0.25">
      <c r="A42" s="3" t="s">
        <v>21</v>
      </c>
      <c r="B42">
        <v>202105</v>
      </c>
      <c r="C42">
        <v>2147480000</v>
      </c>
      <c r="D42">
        <v>9144</v>
      </c>
      <c r="E42">
        <v>5.5784329874265604</v>
      </c>
      <c r="F42" s="1">
        <v>191380000</v>
      </c>
      <c r="G42" s="1">
        <f t="shared" si="2"/>
        <v>-2140000</v>
      </c>
      <c r="H42">
        <v>9354</v>
      </c>
    </row>
    <row r="43" spans="1:8" x14ac:dyDescent="0.25">
      <c r="A43" s="3" t="s">
        <v>32</v>
      </c>
      <c r="B43">
        <v>202105</v>
      </c>
      <c r="C43">
        <v>2146880000</v>
      </c>
      <c r="D43">
        <v>9067</v>
      </c>
      <c r="E43">
        <v>5.5314579939847599</v>
      </c>
      <c r="F43" s="1">
        <v>190740000</v>
      </c>
      <c r="G43" s="1">
        <f t="shared" si="2"/>
        <v>-2780000</v>
      </c>
      <c r="H43">
        <v>9462</v>
      </c>
    </row>
    <row r="44" spans="1:8" x14ac:dyDescent="0.25">
      <c r="A44" s="3" t="s">
        <v>24</v>
      </c>
      <c r="B44">
        <v>202105</v>
      </c>
      <c r="C44">
        <v>2147240000</v>
      </c>
      <c r="D44">
        <v>8806</v>
      </c>
      <c r="E44">
        <v>5.3722310681625398</v>
      </c>
      <c r="F44" s="1">
        <v>190640000</v>
      </c>
      <c r="G44" s="1">
        <f t="shared" si="2"/>
        <v>-2880000</v>
      </c>
      <c r="H44">
        <v>8191</v>
      </c>
    </row>
    <row r="45" spans="1:8" x14ac:dyDescent="0.25">
      <c r="A45" s="3" t="s">
        <v>28</v>
      </c>
      <c r="B45">
        <v>202105</v>
      </c>
      <c r="C45">
        <v>2147420000</v>
      </c>
      <c r="D45">
        <v>8915</v>
      </c>
      <c r="E45">
        <v>5.4387281368009397</v>
      </c>
      <c r="F45" s="1">
        <v>190120000</v>
      </c>
      <c r="G45" s="1">
        <f t="shared" si="2"/>
        <v>-3400000</v>
      </c>
      <c r="H45">
        <v>8429</v>
      </c>
    </row>
    <row r="46" spans="1:8" x14ac:dyDescent="0.25">
      <c r="A46" s="3" t="s">
        <v>26</v>
      </c>
      <c r="B46">
        <v>202105</v>
      </c>
      <c r="C46">
        <v>2147480000</v>
      </c>
      <c r="D46">
        <v>9140</v>
      </c>
      <c r="E46">
        <v>5.5759927280269803</v>
      </c>
      <c r="F46" s="1">
        <v>190100000</v>
      </c>
      <c r="G46" s="1">
        <f t="shared" si="2"/>
        <v>-3420000</v>
      </c>
      <c r="H46">
        <v>7878</v>
      </c>
    </row>
    <row r="47" spans="1:8" x14ac:dyDescent="0.25">
      <c r="A47" t="s">
        <v>33</v>
      </c>
      <c r="B47">
        <v>202105</v>
      </c>
      <c r="C47">
        <v>2147460000</v>
      </c>
      <c r="D47">
        <v>8871</v>
      </c>
      <c r="E47">
        <v>5.4118852834056197</v>
      </c>
      <c r="F47" s="1">
        <v>189940000</v>
      </c>
      <c r="G47" s="1">
        <f t="shared" si="2"/>
        <v>-3580000</v>
      </c>
      <c r="H47">
        <v>7478</v>
      </c>
    </row>
    <row r="48" spans="1:8" x14ac:dyDescent="0.25">
      <c r="A48" t="s">
        <v>7</v>
      </c>
      <c r="B48">
        <v>202105</v>
      </c>
      <c r="C48">
        <v>2147480000</v>
      </c>
      <c r="D48">
        <v>8825</v>
      </c>
      <c r="E48">
        <v>5.3838223003105199</v>
      </c>
      <c r="F48" s="1">
        <v>189840000</v>
      </c>
      <c r="G48" s="1">
        <f t="shared" si="2"/>
        <v>-3680000</v>
      </c>
      <c r="H48">
        <v>8303</v>
      </c>
    </row>
    <row r="49" spans="1:8" x14ac:dyDescent="0.25">
      <c r="A49" t="s">
        <v>15</v>
      </c>
      <c r="B49">
        <v>202105</v>
      </c>
      <c r="C49">
        <v>2147480000</v>
      </c>
      <c r="D49">
        <v>8960</v>
      </c>
      <c r="E49">
        <v>5.4661810550461496</v>
      </c>
      <c r="F49" s="1">
        <v>189800000</v>
      </c>
      <c r="G49" s="1">
        <f t="shared" si="2"/>
        <v>-3720000</v>
      </c>
      <c r="H49">
        <v>8781</v>
      </c>
    </row>
    <row r="50" spans="1:8" x14ac:dyDescent="0.25">
      <c r="A50" t="s">
        <v>19</v>
      </c>
      <c r="B50">
        <v>202105</v>
      </c>
      <c r="C50">
        <v>2147480000</v>
      </c>
      <c r="D50">
        <v>8855</v>
      </c>
      <c r="E50">
        <v>5.40212424580732</v>
      </c>
      <c r="F50" s="1">
        <v>189700000</v>
      </c>
      <c r="G50" s="1">
        <f t="shared" si="2"/>
        <v>-3820000</v>
      </c>
      <c r="H50">
        <v>8130</v>
      </c>
    </row>
    <row r="51" spans="1:8" x14ac:dyDescent="0.25">
      <c r="A51" t="s">
        <v>18</v>
      </c>
      <c r="B51">
        <v>202105</v>
      </c>
      <c r="C51">
        <v>2147480000</v>
      </c>
      <c r="D51">
        <v>9010</v>
      </c>
      <c r="E51">
        <v>5.4966842975408197</v>
      </c>
      <c r="F51" s="1">
        <v>189540000</v>
      </c>
      <c r="G51" s="1">
        <f t="shared" si="2"/>
        <v>-3980000</v>
      </c>
      <c r="H51">
        <v>8438</v>
      </c>
    </row>
    <row r="52" spans="1:8" x14ac:dyDescent="0.25">
      <c r="A52" t="s">
        <v>29</v>
      </c>
      <c r="B52">
        <v>202105</v>
      </c>
      <c r="C52">
        <v>2147480000</v>
      </c>
      <c r="D52">
        <v>9428</v>
      </c>
      <c r="E52">
        <v>5.7516914047963299</v>
      </c>
      <c r="F52" s="1">
        <v>189140000</v>
      </c>
      <c r="G52" s="1">
        <f t="shared" si="2"/>
        <v>-4380000</v>
      </c>
      <c r="H52">
        <v>9242</v>
      </c>
    </row>
    <row r="53" spans="1:8" x14ac:dyDescent="0.25">
      <c r="A53" t="s">
        <v>10</v>
      </c>
      <c r="B53">
        <v>202105</v>
      </c>
      <c r="C53">
        <v>2147080000</v>
      </c>
      <c r="D53">
        <v>9023</v>
      </c>
      <c r="E53">
        <v>5.5046151405894399</v>
      </c>
      <c r="F53" s="1">
        <v>188680000</v>
      </c>
      <c r="G53" s="1">
        <f t="shared" si="2"/>
        <v>-4840000</v>
      </c>
      <c r="H53">
        <v>8373</v>
      </c>
    </row>
    <row r="54" spans="1:8" x14ac:dyDescent="0.25">
      <c r="A54" t="s">
        <v>8</v>
      </c>
      <c r="B54">
        <v>202105</v>
      </c>
      <c r="C54">
        <v>2147140000</v>
      </c>
      <c r="D54">
        <v>8957</v>
      </c>
      <c r="E54">
        <v>5.4643508604964701</v>
      </c>
      <c r="F54" s="1">
        <v>188340000</v>
      </c>
      <c r="G54" s="1">
        <f t="shared" si="2"/>
        <v>-5180000</v>
      </c>
      <c r="H54">
        <v>8810</v>
      </c>
    </row>
    <row r="55" spans="1:8" x14ac:dyDescent="0.25">
      <c r="A55" t="s">
        <v>13</v>
      </c>
      <c r="B55">
        <v>202105</v>
      </c>
      <c r="C55">
        <v>2147480000</v>
      </c>
      <c r="D55">
        <v>9328</v>
      </c>
      <c r="E55">
        <v>5.6906849198069702</v>
      </c>
      <c r="F55" s="1">
        <v>183900000</v>
      </c>
      <c r="G55" s="1">
        <f t="shared" si="2"/>
        <v>-9620000</v>
      </c>
      <c r="H55">
        <v>8928</v>
      </c>
    </row>
    <row r="56" spans="1:8" x14ac:dyDescent="0.25">
      <c r="A56" t="s">
        <v>25</v>
      </c>
      <c r="B56">
        <v>202105</v>
      </c>
      <c r="C56">
        <v>2147480000</v>
      </c>
      <c r="D56">
        <v>9407</v>
      </c>
      <c r="E56">
        <v>5.7388800429485602</v>
      </c>
      <c r="F56" s="1">
        <v>177760000</v>
      </c>
      <c r="G56" s="1">
        <f t="shared" si="2"/>
        <v>-15760000</v>
      </c>
      <c r="H56">
        <v>9307</v>
      </c>
    </row>
    <row r="57" spans="1:8" x14ac:dyDescent="0.25">
      <c r="A57" t="s">
        <v>9</v>
      </c>
      <c r="B57">
        <v>202105</v>
      </c>
      <c r="C57">
        <v>2147480000</v>
      </c>
      <c r="D57">
        <v>8797</v>
      </c>
      <c r="E57">
        <v>5.3667404845134996</v>
      </c>
      <c r="F57" s="1">
        <v>177560000</v>
      </c>
      <c r="G57" s="1">
        <f t="shared" si="2"/>
        <v>-15960000</v>
      </c>
      <c r="H57">
        <v>8661</v>
      </c>
    </row>
    <row r="58" spans="1:8" x14ac:dyDescent="0.25">
      <c r="A58" s="2" t="s">
        <v>13</v>
      </c>
      <c r="B58">
        <v>202106</v>
      </c>
      <c r="C58">
        <v>2147480000</v>
      </c>
      <c r="D58">
        <v>10281</v>
      </c>
      <c r="E58">
        <v>6.2569608004235802</v>
      </c>
      <c r="F58" s="1">
        <v>364860000</v>
      </c>
      <c r="G58" s="1">
        <f t="shared" si="2"/>
        <v>38420000</v>
      </c>
      <c r="H58">
        <v>12188</v>
      </c>
    </row>
    <row r="59" spans="1:8" x14ac:dyDescent="0.25">
      <c r="A59" s="2" t="s">
        <v>31</v>
      </c>
      <c r="B59">
        <v>202106</v>
      </c>
      <c r="C59">
        <v>2147480000</v>
      </c>
      <c r="D59">
        <v>9828</v>
      </c>
      <c r="E59">
        <v>5.9812674590567996</v>
      </c>
      <c r="F59" s="1">
        <v>329960000</v>
      </c>
      <c r="G59" s="1">
        <f t="shared" si="2"/>
        <v>3520000</v>
      </c>
      <c r="H59">
        <v>10817</v>
      </c>
    </row>
    <row r="60" spans="1:8" x14ac:dyDescent="0.25">
      <c r="A60" s="2" t="s">
        <v>7</v>
      </c>
      <c r="B60">
        <v>202106</v>
      </c>
      <c r="C60">
        <v>2147320000</v>
      </c>
      <c r="D60">
        <v>9814</v>
      </c>
      <c r="E60">
        <v>5.9727471350410397</v>
      </c>
      <c r="F60" s="1">
        <v>328360000</v>
      </c>
      <c r="G60" s="1">
        <f t="shared" si="2"/>
        <v>1920000</v>
      </c>
      <c r="H60">
        <v>12789</v>
      </c>
    </row>
    <row r="61" spans="1:8" x14ac:dyDescent="0.25">
      <c r="A61" s="2" t="s">
        <v>14</v>
      </c>
      <c r="B61">
        <v>202106</v>
      </c>
      <c r="C61">
        <v>2147480000</v>
      </c>
      <c r="D61">
        <v>9774</v>
      </c>
      <c r="E61">
        <v>5.9484033521389001</v>
      </c>
      <c r="F61" s="1">
        <v>328200000</v>
      </c>
      <c r="G61" s="1">
        <f t="shared" si="2"/>
        <v>1760000</v>
      </c>
      <c r="H61">
        <v>13017</v>
      </c>
    </row>
    <row r="62" spans="1:8" x14ac:dyDescent="0.25">
      <c r="A62" s="2" t="s">
        <v>20</v>
      </c>
      <c r="B62">
        <v>202106</v>
      </c>
      <c r="C62">
        <v>2147180000</v>
      </c>
      <c r="D62">
        <v>9756</v>
      </c>
      <c r="E62">
        <v>5.9374486498329402</v>
      </c>
      <c r="F62" s="1">
        <v>327560000</v>
      </c>
      <c r="G62" s="1">
        <f t="shared" si="2"/>
        <v>1120000</v>
      </c>
      <c r="H62">
        <v>12393</v>
      </c>
    </row>
    <row r="63" spans="1:8" x14ac:dyDescent="0.25">
      <c r="A63" s="2" t="s">
        <v>21</v>
      </c>
      <c r="B63">
        <v>202106</v>
      </c>
      <c r="C63">
        <v>2147320000</v>
      </c>
      <c r="D63">
        <v>10036</v>
      </c>
      <c r="E63">
        <v>6.10785513014795</v>
      </c>
      <c r="F63" s="1">
        <v>327160000</v>
      </c>
      <c r="G63" s="1">
        <f t="shared" si="2"/>
        <v>720000</v>
      </c>
      <c r="H63">
        <v>12549</v>
      </c>
    </row>
    <row r="64" spans="1:8" x14ac:dyDescent="0.25">
      <c r="A64" s="2" t="s">
        <v>23</v>
      </c>
      <c r="B64">
        <v>202106</v>
      </c>
      <c r="C64">
        <v>2147480000</v>
      </c>
      <c r="D64">
        <v>9789</v>
      </c>
      <c r="E64">
        <v>5.9575322707272003</v>
      </c>
      <c r="F64" s="1">
        <v>326860000</v>
      </c>
      <c r="G64" s="1">
        <f t="shared" si="2"/>
        <v>420000</v>
      </c>
      <c r="H64">
        <v>12436</v>
      </c>
    </row>
    <row r="65" spans="1:8" x14ac:dyDescent="0.25">
      <c r="A65" s="3" t="s">
        <v>16</v>
      </c>
      <c r="B65">
        <v>202106</v>
      </c>
      <c r="C65">
        <v>2147120000</v>
      </c>
      <c r="D65">
        <v>9840</v>
      </c>
      <c r="E65">
        <v>5.9885705939274398</v>
      </c>
      <c r="F65" s="1">
        <v>326800000</v>
      </c>
      <c r="G65" s="1">
        <f t="shared" si="2"/>
        <v>360000</v>
      </c>
      <c r="H65">
        <v>13043</v>
      </c>
    </row>
    <row r="66" spans="1:8" x14ac:dyDescent="0.25">
      <c r="A66" s="2" t="s">
        <v>12</v>
      </c>
      <c r="B66">
        <v>202106</v>
      </c>
      <c r="C66">
        <v>2147480000</v>
      </c>
      <c r="D66">
        <v>9876</v>
      </c>
      <c r="E66">
        <v>6.0104799985393704</v>
      </c>
      <c r="F66" s="1">
        <v>326800000</v>
      </c>
      <c r="G66" s="1">
        <f t="shared" si="2"/>
        <v>360000</v>
      </c>
      <c r="H66">
        <v>13507</v>
      </c>
    </row>
    <row r="67" spans="1:8" x14ac:dyDescent="0.25">
      <c r="A67" s="3" t="s">
        <v>28</v>
      </c>
      <c r="B67">
        <v>202106</v>
      </c>
      <c r="C67">
        <v>2147480000</v>
      </c>
      <c r="D67">
        <v>9791</v>
      </c>
      <c r="E67">
        <v>5.9587494598723101</v>
      </c>
      <c r="F67" s="1">
        <v>326680000</v>
      </c>
      <c r="G67" s="1">
        <f t="shared" ref="G67:G85" si="6">F67-_xlfn.XLOOKUP(B67,L:L,M:M)</f>
        <v>240000</v>
      </c>
      <c r="H67">
        <v>13417</v>
      </c>
    </row>
    <row r="68" spans="1:8" x14ac:dyDescent="0.25">
      <c r="A68" t="s">
        <v>34</v>
      </c>
      <c r="B68">
        <v>202106</v>
      </c>
      <c r="C68">
        <v>2147480000</v>
      </c>
      <c r="D68">
        <v>9791</v>
      </c>
      <c r="E68">
        <v>5.9587494598723101</v>
      </c>
      <c r="F68" s="1">
        <v>326440000</v>
      </c>
      <c r="G68" s="1">
        <f t="shared" si="6"/>
        <v>0</v>
      </c>
      <c r="H68">
        <v>12277</v>
      </c>
    </row>
    <row r="69" spans="1:8" x14ac:dyDescent="0.25">
      <c r="A69" s="3" t="s">
        <v>17</v>
      </c>
      <c r="B69">
        <v>202106</v>
      </c>
      <c r="C69">
        <v>2147480000</v>
      </c>
      <c r="D69">
        <v>9865</v>
      </c>
      <c r="E69">
        <v>6.0037854582412802</v>
      </c>
      <c r="F69" s="1">
        <v>326300000</v>
      </c>
      <c r="G69" s="1">
        <f t="shared" si="6"/>
        <v>-140000</v>
      </c>
      <c r="H69">
        <v>11808</v>
      </c>
    </row>
    <row r="70" spans="1:8" x14ac:dyDescent="0.25">
      <c r="A70" s="3" t="s">
        <v>19</v>
      </c>
      <c r="B70">
        <v>202106</v>
      </c>
      <c r="C70">
        <v>2147480000</v>
      </c>
      <c r="D70">
        <v>9775</v>
      </c>
      <c r="E70">
        <v>5.9490119467114502</v>
      </c>
      <c r="F70" s="1">
        <v>326200000</v>
      </c>
      <c r="G70" s="1">
        <f t="shared" si="6"/>
        <v>-240000</v>
      </c>
      <c r="H70">
        <v>12445</v>
      </c>
    </row>
    <row r="71" spans="1:8" x14ac:dyDescent="0.25">
      <c r="A71" s="3" t="s">
        <v>33</v>
      </c>
      <c r="B71">
        <v>202106</v>
      </c>
      <c r="C71">
        <v>2147260000</v>
      </c>
      <c r="D71">
        <v>9785</v>
      </c>
      <c r="E71">
        <v>5.9550978924369904</v>
      </c>
      <c r="F71" s="1">
        <v>326060000</v>
      </c>
      <c r="G71" s="1">
        <f t="shared" si="6"/>
        <v>-380000</v>
      </c>
      <c r="H71">
        <v>12312</v>
      </c>
    </row>
    <row r="72" spans="1:8" x14ac:dyDescent="0.25">
      <c r="A72" s="3" t="s">
        <v>24</v>
      </c>
      <c r="B72">
        <v>202106</v>
      </c>
      <c r="C72">
        <v>2147480000</v>
      </c>
      <c r="D72">
        <v>9772</v>
      </c>
      <c r="E72">
        <v>5.9471861629937903</v>
      </c>
      <c r="F72" s="1">
        <v>325820000</v>
      </c>
      <c r="G72" s="1">
        <f t="shared" si="6"/>
        <v>-620000</v>
      </c>
      <c r="H72">
        <v>11228</v>
      </c>
    </row>
    <row r="73" spans="1:8" x14ac:dyDescent="0.25">
      <c r="A73" s="3" t="s">
        <v>18</v>
      </c>
      <c r="B73">
        <v>202106</v>
      </c>
      <c r="C73">
        <v>2147000000</v>
      </c>
      <c r="D73">
        <v>9968</v>
      </c>
      <c r="E73">
        <v>6.0664706992142996</v>
      </c>
      <c r="F73" s="1">
        <v>325300000</v>
      </c>
      <c r="G73" s="1">
        <f t="shared" si="6"/>
        <v>-1140000</v>
      </c>
      <c r="H73">
        <v>11678</v>
      </c>
    </row>
    <row r="74" spans="1:8" x14ac:dyDescent="0.25">
      <c r="A74" t="s">
        <v>29</v>
      </c>
      <c r="B74">
        <v>202106</v>
      </c>
      <c r="C74">
        <v>2147380000</v>
      </c>
      <c r="D74">
        <v>10084</v>
      </c>
      <c r="E74">
        <v>6.13706766963052</v>
      </c>
      <c r="F74" s="1">
        <v>325240000</v>
      </c>
      <c r="G74" s="1">
        <f t="shared" si="6"/>
        <v>-1200000</v>
      </c>
      <c r="H74">
        <v>11133</v>
      </c>
    </row>
    <row r="75" spans="1:8" x14ac:dyDescent="0.25">
      <c r="A75" s="3" t="s">
        <v>15</v>
      </c>
      <c r="B75">
        <v>202106</v>
      </c>
      <c r="C75">
        <v>2147480000</v>
      </c>
      <c r="D75">
        <v>9741</v>
      </c>
      <c r="E75">
        <v>5.9283197312446303</v>
      </c>
      <c r="F75" s="1">
        <v>325240000</v>
      </c>
      <c r="G75" s="1">
        <f t="shared" si="6"/>
        <v>-1200000</v>
      </c>
      <c r="H75">
        <v>10961</v>
      </c>
    </row>
    <row r="76" spans="1:8" x14ac:dyDescent="0.25">
      <c r="A76" t="s">
        <v>11</v>
      </c>
      <c r="B76">
        <v>202106</v>
      </c>
      <c r="C76">
        <v>2146880000</v>
      </c>
      <c r="D76">
        <v>10002</v>
      </c>
      <c r="E76">
        <v>6.0871629146811204</v>
      </c>
      <c r="F76" s="1">
        <v>324780000</v>
      </c>
      <c r="G76" s="1">
        <f t="shared" si="6"/>
        <v>-1660000</v>
      </c>
      <c r="H76">
        <v>13284</v>
      </c>
    </row>
    <row r="77" spans="1:8" x14ac:dyDescent="0.25">
      <c r="A77" t="s">
        <v>10</v>
      </c>
      <c r="B77">
        <v>202106</v>
      </c>
      <c r="C77">
        <v>2147020000</v>
      </c>
      <c r="D77">
        <v>10127</v>
      </c>
      <c r="E77">
        <v>6.1632372362503203</v>
      </c>
      <c r="F77" s="1">
        <v>324360000</v>
      </c>
      <c r="G77" s="1">
        <f t="shared" si="6"/>
        <v>-2080000</v>
      </c>
      <c r="H77">
        <v>13185</v>
      </c>
    </row>
    <row r="78" spans="1:8" x14ac:dyDescent="0.25">
      <c r="A78" t="s">
        <v>30</v>
      </c>
      <c r="B78">
        <v>202106</v>
      </c>
      <c r="C78">
        <v>2147480000</v>
      </c>
      <c r="D78">
        <v>10016</v>
      </c>
      <c r="E78">
        <v>6.0956832386968696</v>
      </c>
      <c r="F78" s="1">
        <v>323660000</v>
      </c>
      <c r="G78" s="1">
        <f t="shared" si="6"/>
        <v>-2780000</v>
      </c>
      <c r="H78">
        <v>13060</v>
      </c>
    </row>
    <row r="79" spans="1:8" x14ac:dyDescent="0.25">
      <c r="A79" t="s">
        <v>22</v>
      </c>
      <c r="B79">
        <v>202106</v>
      </c>
      <c r="C79">
        <v>2147480000</v>
      </c>
      <c r="D79">
        <v>9884</v>
      </c>
      <c r="E79">
        <v>6.0153487551197999</v>
      </c>
      <c r="F79" s="1">
        <v>323540000</v>
      </c>
      <c r="G79" s="1">
        <f t="shared" si="6"/>
        <v>-2900000</v>
      </c>
      <c r="H79">
        <v>14026</v>
      </c>
    </row>
    <row r="80" spans="1:8" x14ac:dyDescent="0.25">
      <c r="A80" t="s">
        <v>32</v>
      </c>
      <c r="B80">
        <v>202106</v>
      </c>
      <c r="C80">
        <v>2147440000</v>
      </c>
      <c r="D80">
        <v>9859</v>
      </c>
      <c r="E80">
        <v>6.0001338908059596</v>
      </c>
      <c r="F80" s="1">
        <v>323300000</v>
      </c>
      <c r="G80" s="1">
        <f t="shared" si="6"/>
        <v>-3140000</v>
      </c>
      <c r="H80">
        <v>12662</v>
      </c>
    </row>
    <row r="81" spans="1:8" x14ac:dyDescent="0.25">
      <c r="A81" t="s">
        <v>8</v>
      </c>
      <c r="B81">
        <v>202106</v>
      </c>
      <c r="C81">
        <v>2147480000</v>
      </c>
      <c r="D81">
        <v>9790</v>
      </c>
      <c r="E81">
        <v>5.9581408652997601</v>
      </c>
      <c r="F81" s="1">
        <v>322260000</v>
      </c>
      <c r="G81" s="1">
        <f t="shared" si="6"/>
        <v>-4180000</v>
      </c>
      <c r="H81">
        <v>10398</v>
      </c>
    </row>
    <row r="82" spans="1:8" x14ac:dyDescent="0.25">
      <c r="A82" t="s">
        <v>26</v>
      </c>
      <c r="B82">
        <v>202106</v>
      </c>
      <c r="C82">
        <v>2147480000</v>
      </c>
      <c r="D82">
        <v>10132</v>
      </c>
      <c r="E82">
        <v>6.1662802091130899</v>
      </c>
      <c r="F82" s="1">
        <v>321800000</v>
      </c>
      <c r="G82" s="1">
        <f t="shared" si="6"/>
        <v>-4640000</v>
      </c>
      <c r="H82">
        <v>12793</v>
      </c>
    </row>
    <row r="83" spans="1:8" x14ac:dyDescent="0.25">
      <c r="A83" t="s">
        <v>25</v>
      </c>
      <c r="B83">
        <v>202106</v>
      </c>
      <c r="C83">
        <v>2147480000</v>
      </c>
      <c r="D83">
        <v>10228</v>
      </c>
      <c r="E83">
        <v>6.2247052880782396</v>
      </c>
      <c r="F83" s="1">
        <v>319120000</v>
      </c>
      <c r="G83" s="1">
        <f t="shared" si="6"/>
        <v>-7320000</v>
      </c>
      <c r="H83">
        <v>12727</v>
      </c>
    </row>
    <row r="84" spans="1:8" x14ac:dyDescent="0.25">
      <c r="A84" t="s">
        <v>27</v>
      </c>
      <c r="B84">
        <v>202106</v>
      </c>
      <c r="C84">
        <v>2146880000</v>
      </c>
      <c r="D84">
        <v>10016</v>
      </c>
      <c r="E84">
        <v>6.0956832386968696</v>
      </c>
      <c r="F84" s="1">
        <v>318980000</v>
      </c>
      <c r="G84" s="1">
        <f t="shared" si="6"/>
        <v>-7460000</v>
      </c>
      <c r="H84">
        <v>10926</v>
      </c>
    </row>
    <row r="85" spans="1:8" x14ac:dyDescent="0.25">
      <c r="A85" t="s">
        <v>9</v>
      </c>
      <c r="B85">
        <v>202106</v>
      </c>
      <c r="C85">
        <v>2147480000</v>
      </c>
      <c r="D85">
        <v>9621</v>
      </c>
      <c r="E85">
        <v>5.8552883825382001</v>
      </c>
      <c r="F85" s="1">
        <v>310920000</v>
      </c>
      <c r="G85" s="1">
        <f t="shared" si="6"/>
        <v>-15520000</v>
      </c>
      <c r="H85">
        <v>13065</v>
      </c>
    </row>
    <row r="92" spans="1:8" x14ac:dyDescent="0.25">
      <c r="A92" t="s">
        <v>57</v>
      </c>
    </row>
    <row r="93" spans="1:8" x14ac:dyDescent="0.25">
      <c r="A93" t="s">
        <v>38</v>
      </c>
      <c r="B93">
        <v>202104</v>
      </c>
      <c r="C93">
        <v>2147480000</v>
      </c>
      <c r="D93">
        <v>8511</v>
      </c>
      <c r="E93">
        <v>5.2081166089414799</v>
      </c>
      <c r="F93">
        <v>352680000</v>
      </c>
      <c r="G93" s="1">
        <f t="shared" ref="G93:G152" si="7">F93-_xlfn.XLOOKUP(B93,L:L,M:M)</f>
        <v>2560000</v>
      </c>
      <c r="H93">
        <v>10877</v>
      </c>
    </row>
    <row r="94" spans="1:8" x14ac:dyDescent="0.25">
      <c r="A94" t="s">
        <v>39</v>
      </c>
      <c r="B94">
        <v>202104</v>
      </c>
      <c r="C94">
        <v>2147480000</v>
      </c>
      <c r="D94">
        <v>8619</v>
      </c>
      <c r="E94">
        <v>5.2742047999608301</v>
      </c>
      <c r="F94">
        <v>352660000</v>
      </c>
      <c r="G94" s="1">
        <f t="shared" si="7"/>
        <v>2540000</v>
      </c>
      <c r="H94">
        <v>10926</v>
      </c>
    </row>
    <row r="95" spans="1:8" x14ac:dyDescent="0.25">
      <c r="A95" t="s">
        <v>40</v>
      </c>
      <c r="B95">
        <v>202104</v>
      </c>
      <c r="C95">
        <v>2147360000</v>
      </c>
      <c r="D95">
        <v>8460</v>
      </c>
      <c r="E95">
        <v>5.1769082965156796</v>
      </c>
      <c r="F95">
        <v>352040000</v>
      </c>
      <c r="G95" s="1">
        <f t="shared" si="7"/>
        <v>1920000</v>
      </c>
      <c r="H95">
        <v>11197</v>
      </c>
    </row>
    <row r="96" spans="1:8" x14ac:dyDescent="0.25">
      <c r="A96" t="s">
        <v>41</v>
      </c>
      <c r="B96">
        <v>202104</v>
      </c>
      <c r="C96">
        <v>2147360000</v>
      </c>
      <c r="D96">
        <v>8533</v>
      </c>
      <c r="E96">
        <v>5.2215790182232</v>
      </c>
      <c r="F96">
        <v>351480000</v>
      </c>
      <c r="G96" s="1">
        <f t="shared" si="7"/>
        <v>1360000</v>
      </c>
      <c r="H96">
        <v>11345</v>
      </c>
    </row>
    <row r="97" spans="1:8" x14ac:dyDescent="0.25">
      <c r="A97" t="s">
        <v>42</v>
      </c>
      <c r="B97">
        <v>202104</v>
      </c>
      <c r="C97">
        <v>2147480000</v>
      </c>
      <c r="D97">
        <v>8517</v>
      </c>
      <c r="E97">
        <v>5.2117881751092199</v>
      </c>
      <c r="F97">
        <v>351440000</v>
      </c>
      <c r="G97" s="1">
        <f t="shared" si="7"/>
        <v>1320000</v>
      </c>
      <c r="H97">
        <v>9963</v>
      </c>
    </row>
    <row r="98" spans="1:8" x14ac:dyDescent="0.25">
      <c r="A98" t="s">
        <v>43</v>
      </c>
      <c r="B98">
        <v>202104</v>
      </c>
      <c r="C98">
        <v>2147220000</v>
      </c>
      <c r="D98">
        <v>8499</v>
      </c>
      <c r="E98">
        <v>5.2007734766059999</v>
      </c>
      <c r="F98">
        <v>351320000</v>
      </c>
      <c r="G98" s="1">
        <f t="shared" si="7"/>
        <v>1200000</v>
      </c>
      <c r="H98">
        <v>10601</v>
      </c>
    </row>
    <row r="99" spans="1:8" x14ac:dyDescent="0.25">
      <c r="A99" t="s">
        <v>44</v>
      </c>
      <c r="B99">
        <v>202104</v>
      </c>
      <c r="C99">
        <v>2147480000</v>
      </c>
      <c r="D99">
        <v>8533</v>
      </c>
      <c r="E99">
        <v>5.2215790182232</v>
      </c>
      <c r="F99">
        <v>351260000</v>
      </c>
      <c r="G99" s="1">
        <f t="shared" si="7"/>
        <v>1140000</v>
      </c>
      <c r="H99">
        <v>10540</v>
      </c>
    </row>
    <row r="100" spans="1:8" x14ac:dyDescent="0.25">
      <c r="A100" t="s">
        <v>45</v>
      </c>
      <c r="B100">
        <v>202104</v>
      </c>
      <c r="C100">
        <v>2147480000</v>
      </c>
      <c r="D100">
        <v>8419</v>
      </c>
      <c r="E100">
        <v>5.1518192610361098</v>
      </c>
      <c r="F100">
        <v>351020000</v>
      </c>
      <c r="G100" s="1">
        <f t="shared" si="7"/>
        <v>900000</v>
      </c>
      <c r="H100">
        <v>10384</v>
      </c>
    </row>
    <row r="101" spans="1:8" x14ac:dyDescent="0.25">
      <c r="A101" t="s">
        <v>46</v>
      </c>
      <c r="B101">
        <v>202104</v>
      </c>
      <c r="C101">
        <v>2147020000</v>
      </c>
      <c r="D101">
        <v>8513</v>
      </c>
      <c r="E101">
        <v>5.2093404643307304</v>
      </c>
      <c r="F101">
        <v>351020000</v>
      </c>
      <c r="G101" s="1">
        <f t="shared" si="7"/>
        <v>900000</v>
      </c>
      <c r="H101">
        <v>10760</v>
      </c>
    </row>
    <row r="102" spans="1:8" x14ac:dyDescent="0.25">
      <c r="A102" t="s">
        <v>47</v>
      </c>
      <c r="B102">
        <v>202104</v>
      </c>
      <c r="C102">
        <v>2147480000</v>
      </c>
      <c r="D102">
        <v>8564</v>
      </c>
      <c r="E102">
        <v>5.2405487767565297</v>
      </c>
      <c r="F102">
        <v>350520000</v>
      </c>
      <c r="G102" s="1">
        <f t="shared" si="7"/>
        <v>400000</v>
      </c>
      <c r="H102">
        <v>11169</v>
      </c>
    </row>
    <row r="103" spans="1:8" x14ac:dyDescent="0.25">
      <c r="A103" t="s">
        <v>48</v>
      </c>
      <c r="B103">
        <v>202104</v>
      </c>
      <c r="C103">
        <v>2147480000</v>
      </c>
      <c r="D103">
        <v>8470</v>
      </c>
      <c r="E103">
        <v>5.1830275734619198</v>
      </c>
      <c r="F103">
        <v>350500000</v>
      </c>
      <c r="G103" s="1">
        <f t="shared" si="7"/>
        <v>380000</v>
      </c>
      <c r="H103">
        <v>10914</v>
      </c>
    </row>
    <row r="104" spans="1:8" x14ac:dyDescent="0.25">
      <c r="A104" t="s">
        <v>49</v>
      </c>
      <c r="B104">
        <v>202104</v>
      </c>
      <c r="C104">
        <v>2147480000</v>
      </c>
      <c r="D104">
        <v>8497</v>
      </c>
      <c r="E104">
        <v>5.1995496212167502</v>
      </c>
      <c r="F104">
        <v>350280000</v>
      </c>
      <c r="G104" s="1">
        <f t="shared" si="7"/>
        <v>160000</v>
      </c>
      <c r="H104">
        <v>10953</v>
      </c>
    </row>
    <row r="105" spans="1:8" x14ac:dyDescent="0.25">
      <c r="A105" t="s">
        <v>50</v>
      </c>
      <c r="B105">
        <v>202104</v>
      </c>
      <c r="C105">
        <v>2147480000</v>
      </c>
      <c r="D105">
        <v>8497</v>
      </c>
      <c r="E105">
        <v>5.1995496212167502</v>
      </c>
      <c r="F105">
        <v>350240000</v>
      </c>
      <c r="G105" s="1">
        <f t="shared" si="7"/>
        <v>120000</v>
      </c>
      <c r="H105">
        <v>10827</v>
      </c>
    </row>
    <row r="106" spans="1:8" x14ac:dyDescent="0.25">
      <c r="A106" t="s">
        <v>34</v>
      </c>
      <c r="B106">
        <v>202104</v>
      </c>
      <c r="C106">
        <v>2147480000</v>
      </c>
      <c r="D106">
        <v>8549</v>
      </c>
      <c r="E106">
        <v>5.2313698613371802</v>
      </c>
      <c r="F106">
        <v>350120000</v>
      </c>
      <c r="G106" s="1">
        <f t="shared" si="7"/>
        <v>0</v>
      </c>
      <c r="H106">
        <v>0</v>
      </c>
    </row>
    <row r="107" spans="1:8" x14ac:dyDescent="0.25">
      <c r="A107" t="s">
        <v>51</v>
      </c>
      <c r="B107">
        <v>202104</v>
      </c>
      <c r="C107">
        <v>2147080000</v>
      </c>
      <c r="D107">
        <v>8494</v>
      </c>
      <c r="E107">
        <v>5.1977138381328798</v>
      </c>
      <c r="F107" s="1">
        <v>349840000</v>
      </c>
      <c r="G107" s="1">
        <f t="shared" si="7"/>
        <v>-280000</v>
      </c>
      <c r="H107">
        <v>11007</v>
      </c>
    </row>
    <row r="108" spans="1:8" x14ac:dyDescent="0.25">
      <c r="A108" t="s">
        <v>52</v>
      </c>
      <c r="B108">
        <v>202104</v>
      </c>
      <c r="C108">
        <v>2147480000</v>
      </c>
      <c r="D108">
        <v>8475</v>
      </c>
      <c r="E108">
        <v>5.1860872119350301</v>
      </c>
      <c r="F108">
        <v>349600000</v>
      </c>
      <c r="G108" s="1">
        <f t="shared" si="7"/>
        <v>-520000</v>
      </c>
      <c r="H108">
        <v>10595</v>
      </c>
    </row>
    <row r="109" spans="1:8" x14ac:dyDescent="0.25">
      <c r="A109" t="s">
        <v>53</v>
      </c>
      <c r="B109">
        <v>202104</v>
      </c>
      <c r="C109">
        <v>2147480000</v>
      </c>
      <c r="D109">
        <v>8442</v>
      </c>
      <c r="E109">
        <v>5.1658935980124498</v>
      </c>
      <c r="F109">
        <v>349440000</v>
      </c>
      <c r="G109" s="1">
        <f t="shared" si="7"/>
        <v>-680000</v>
      </c>
      <c r="H109">
        <v>10707</v>
      </c>
    </row>
    <row r="110" spans="1:8" x14ac:dyDescent="0.25">
      <c r="A110" t="s">
        <v>54</v>
      </c>
      <c r="B110">
        <v>202104</v>
      </c>
      <c r="C110">
        <v>2147240000</v>
      </c>
      <c r="D110">
        <v>8455</v>
      </c>
      <c r="E110">
        <v>5.1738486580425596</v>
      </c>
      <c r="F110">
        <v>349360000</v>
      </c>
      <c r="G110" s="1">
        <f t="shared" si="7"/>
        <v>-760000</v>
      </c>
      <c r="H110">
        <v>11095</v>
      </c>
    </row>
    <row r="111" spans="1:8" x14ac:dyDescent="0.25">
      <c r="A111" t="s">
        <v>55</v>
      </c>
      <c r="B111">
        <v>202104</v>
      </c>
      <c r="C111">
        <v>2147480000</v>
      </c>
      <c r="D111">
        <v>8497</v>
      </c>
      <c r="E111">
        <v>5.1995496212167502</v>
      </c>
      <c r="F111">
        <v>349240000</v>
      </c>
      <c r="G111" s="1">
        <f t="shared" si="7"/>
        <v>-880000</v>
      </c>
      <c r="H111">
        <v>10261</v>
      </c>
    </row>
    <row r="112" spans="1:8" x14ac:dyDescent="0.25">
      <c r="A112" t="s">
        <v>56</v>
      </c>
      <c r="B112">
        <v>202104</v>
      </c>
      <c r="C112">
        <v>2147360000</v>
      </c>
      <c r="D112">
        <v>8552</v>
      </c>
      <c r="E112">
        <v>5.2332056444210497</v>
      </c>
      <c r="F112">
        <v>348780000</v>
      </c>
      <c r="G112" s="1">
        <f t="shared" si="7"/>
        <v>-1340000</v>
      </c>
      <c r="H112">
        <v>10988</v>
      </c>
    </row>
    <row r="113" spans="1:8" x14ac:dyDescent="0.25">
      <c r="A113" t="s">
        <v>47</v>
      </c>
      <c r="B113">
        <v>202105</v>
      </c>
      <c r="C113">
        <v>2147040000</v>
      </c>
      <c r="D113">
        <v>8879</v>
      </c>
      <c r="E113">
        <v>5.41676580220477</v>
      </c>
      <c r="F113">
        <v>193560000</v>
      </c>
      <c r="G113" s="1">
        <f t="shared" si="7"/>
        <v>40000</v>
      </c>
      <c r="H113">
        <v>8413</v>
      </c>
    </row>
    <row r="114" spans="1:8" x14ac:dyDescent="0.25">
      <c r="A114" t="s">
        <v>34</v>
      </c>
      <c r="B114">
        <v>202105</v>
      </c>
      <c r="C114">
        <v>2147440000</v>
      </c>
      <c r="D114">
        <v>8903</v>
      </c>
      <c r="E114">
        <v>5.4314073586022102</v>
      </c>
      <c r="F114">
        <v>193520000</v>
      </c>
      <c r="G114" s="1">
        <f t="shared" si="7"/>
        <v>0</v>
      </c>
      <c r="H114">
        <v>0</v>
      </c>
    </row>
    <row r="115" spans="1:8" x14ac:dyDescent="0.25">
      <c r="A115" t="s">
        <v>44</v>
      </c>
      <c r="B115">
        <v>202105</v>
      </c>
      <c r="C115">
        <v>2147420000</v>
      </c>
      <c r="D115">
        <v>8850</v>
      </c>
      <c r="E115">
        <v>5.3990739215578598</v>
      </c>
      <c r="F115">
        <v>193080000</v>
      </c>
      <c r="G115" s="1">
        <f t="shared" si="7"/>
        <v>-440000</v>
      </c>
      <c r="H115">
        <v>9005</v>
      </c>
    </row>
    <row r="116" spans="1:8" x14ac:dyDescent="0.25">
      <c r="A116" t="s">
        <v>40</v>
      </c>
      <c r="B116">
        <v>202105</v>
      </c>
      <c r="C116">
        <v>2147480000</v>
      </c>
      <c r="D116">
        <v>8929</v>
      </c>
      <c r="E116">
        <v>5.4472690446994498</v>
      </c>
      <c r="F116">
        <v>192740000</v>
      </c>
      <c r="G116" s="1">
        <f t="shared" si="7"/>
        <v>-780000</v>
      </c>
      <c r="H116">
        <v>9166</v>
      </c>
    </row>
    <row r="117" spans="1:8" x14ac:dyDescent="0.25">
      <c r="A117" t="s">
        <v>45</v>
      </c>
      <c r="B117">
        <v>202105</v>
      </c>
      <c r="C117">
        <v>2147480000</v>
      </c>
      <c r="D117">
        <v>8959</v>
      </c>
      <c r="E117">
        <v>5.4655709901962499</v>
      </c>
      <c r="F117">
        <v>192740000</v>
      </c>
      <c r="G117" s="1">
        <f t="shared" si="7"/>
        <v>-780000</v>
      </c>
      <c r="H117">
        <v>8342</v>
      </c>
    </row>
    <row r="118" spans="1:8" x14ac:dyDescent="0.25">
      <c r="A118" t="s">
        <v>53</v>
      </c>
      <c r="B118">
        <v>202105</v>
      </c>
      <c r="C118">
        <v>2147360000</v>
      </c>
      <c r="D118">
        <v>8926</v>
      </c>
      <c r="E118">
        <v>5.4454388501497704</v>
      </c>
      <c r="F118">
        <v>192700000</v>
      </c>
      <c r="G118" s="1">
        <f t="shared" si="7"/>
        <v>-820000</v>
      </c>
      <c r="H118">
        <v>8448</v>
      </c>
    </row>
    <row r="119" spans="1:8" x14ac:dyDescent="0.25">
      <c r="A119" t="s">
        <v>52</v>
      </c>
      <c r="B119">
        <v>202105</v>
      </c>
      <c r="C119">
        <v>2147480000</v>
      </c>
      <c r="D119">
        <v>8845</v>
      </c>
      <c r="E119">
        <v>5.3960235973083899</v>
      </c>
      <c r="F119">
        <v>192560000</v>
      </c>
      <c r="G119" s="1">
        <f t="shared" si="7"/>
        <v>-960000</v>
      </c>
      <c r="H119">
        <v>8847</v>
      </c>
    </row>
    <row r="120" spans="1:8" x14ac:dyDescent="0.25">
      <c r="A120" t="s">
        <v>55</v>
      </c>
      <c r="B120">
        <v>202105</v>
      </c>
      <c r="C120">
        <v>2147480000</v>
      </c>
      <c r="D120">
        <v>8874</v>
      </c>
      <c r="E120">
        <v>5.4137154779553001</v>
      </c>
      <c r="F120">
        <v>192560000</v>
      </c>
      <c r="G120" s="1">
        <f t="shared" si="7"/>
        <v>-960000</v>
      </c>
      <c r="H120">
        <v>8047</v>
      </c>
    </row>
    <row r="121" spans="1:8" x14ac:dyDescent="0.25">
      <c r="A121" t="s">
        <v>43</v>
      </c>
      <c r="B121">
        <v>202105</v>
      </c>
      <c r="C121">
        <v>2147480000</v>
      </c>
      <c r="D121">
        <v>8844</v>
      </c>
      <c r="E121">
        <v>5.3954135324585</v>
      </c>
      <c r="F121">
        <v>192340000</v>
      </c>
      <c r="G121" s="1">
        <f t="shared" si="7"/>
        <v>-1180000</v>
      </c>
      <c r="H121">
        <v>8274</v>
      </c>
    </row>
    <row r="122" spans="1:8" x14ac:dyDescent="0.25">
      <c r="A122" t="s">
        <v>50</v>
      </c>
      <c r="B122">
        <v>202105</v>
      </c>
      <c r="C122">
        <v>2147400000</v>
      </c>
      <c r="D122">
        <v>8899</v>
      </c>
      <c r="E122">
        <v>5.42896709920264</v>
      </c>
      <c r="F122">
        <v>191920000</v>
      </c>
      <c r="G122" s="1">
        <f t="shared" si="7"/>
        <v>-1600000</v>
      </c>
      <c r="H122">
        <v>8419</v>
      </c>
    </row>
    <row r="123" spans="1:8" x14ac:dyDescent="0.25">
      <c r="A123" t="s">
        <v>39</v>
      </c>
      <c r="B123">
        <v>202105</v>
      </c>
      <c r="C123">
        <v>2147480000</v>
      </c>
      <c r="D123">
        <v>9012</v>
      </c>
      <c r="E123">
        <v>5.4979044272406101</v>
      </c>
      <c r="F123">
        <v>191820000</v>
      </c>
      <c r="G123" s="1">
        <f t="shared" si="7"/>
        <v>-1700000</v>
      </c>
      <c r="H123">
        <v>8392</v>
      </c>
    </row>
    <row r="124" spans="1:8" x14ac:dyDescent="0.25">
      <c r="A124" t="s">
        <v>46</v>
      </c>
      <c r="B124">
        <v>202105</v>
      </c>
      <c r="C124">
        <v>2147360000</v>
      </c>
      <c r="D124">
        <v>8898</v>
      </c>
      <c r="E124">
        <v>5.4283570343527501</v>
      </c>
      <c r="F124">
        <v>191380000</v>
      </c>
      <c r="G124" s="1">
        <f t="shared" si="7"/>
        <v>-2140000</v>
      </c>
      <c r="H124">
        <v>8830</v>
      </c>
    </row>
    <row r="125" spans="1:8" x14ac:dyDescent="0.25">
      <c r="A125" t="s">
        <v>38</v>
      </c>
      <c r="B125">
        <v>202105</v>
      </c>
      <c r="C125">
        <v>2147400000</v>
      </c>
      <c r="D125">
        <v>8906</v>
      </c>
      <c r="E125">
        <v>5.4332375531519004</v>
      </c>
      <c r="F125">
        <v>191340000</v>
      </c>
      <c r="G125" s="1">
        <f t="shared" si="7"/>
        <v>-2180000</v>
      </c>
      <c r="H125">
        <v>8576</v>
      </c>
    </row>
    <row r="126" spans="1:8" x14ac:dyDescent="0.25">
      <c r="A126" t="s">
        <v>49</v>
      </c>
      <c r="B126">
        <v>202105</v>
      </c>
      <c r="C126">
        <v>2147480000</v>
      </c>
      <c r="D126">
        <v>8911</v>
      </c>
      <c r="E126">
        <v>5.4362878774013597</v>
      </c>
      <c r="F126">
        <v>191280000</v>
      </c>
      <c r="G126" s="1">
        <f t="shared" si="7"/>
        <v>-2240000</v>
      </c>
      <c r="H126">
        <v>8839</v>
      </c>
    </row>
    <row r="127" spans="1:8" x14ac:dyDescent="0.25">
      <c r="A127" t="s">
        <v>48</v>
      </c>
      <c r="B127">
        <v>202105</v>
      </c>
      <c r="C127">
        <v>2147480000</v>
      </c>
      <c r="D127">
        <v>8891</v>
      </c>
      <c r="E127">
        <v>5.4240865804034897</v>
      </c>
      <c r="F127">
        <v>191140000</v>
      </c>
      <c r="G127" s="1">
        <f t="shared" si="7"/>
        <v>-2380000</v>
      </c>
      <c r="H127">
        <v>8938</v>
      </c>
    </row>
    <row r="128" spans="1:8" x14ac:dyDescent="0.25">
      <c r="A128" t="s">
        <v>42</v>
      </c>
      <c r="B128">
        <v>202105</v>
      </c>
      <c r="C128">
        <v>2147480000</v>
      </c>
      <c r="D128">
        <v>8979</v>
      </c>
      <c r="E128">
        <v>5.4777722871941199</v>
      </c>
      <c r="F128">
        <v>190920000</v>
      </c>
      <c r="G128" s="1">
        <f t="shared" si="7"/>
        <v>-2600000</v>
      </c>
      <c r="H128">
        <v>8205</v>
      </c>
    </row>
    <row r="129" spans="1:8" x14ac:dyDescent="0.25">
      <c r="A129" t="s">
        <v>41</v>
      </c>
      <c r="B129">
        <v>202105</v>
      </c>
      <c r="C129">
        <v>2146900000</v>
      </c>
      <c r="D129">
        <v>8875</v>
      </c>
      <c r="E129">
        <v>5.4143255428051997</v>
      </c>
      <c r="F129">
        <v>190440000</v>
      </c>
      <c r="G129" s="1">
        <f t="shared" si="7"/>
        <v>-3080000</v>
      </c>
      <c r="H129">
        <v>8213</v>
      </c>
    </row>
    <row r="130" spans="1:8" x14ac:dyDescent="0.25">
      <c r="A130" t="s">
        <v>51</v>
      </c>
      <c r="B130">
        <v>202105</v>
      </c>
      <c r="C130">
        <v>2147100000</v>
      </c>
      <c r="D130">
        <v>8907</v>
      </c>
      <c r="E130">
        <v>5.4338476180017903</v>
      </c>
      <c r="F130" s="1">
        <v>189520000</v>
      </c>
      <c r="G130" s="1">
        <f t="shared" si="7"/>
        <v>-4000000</v>
      </c>
      <c r="H130">
        <v>9127</v>
      </c>
    </row>
    <row r="131" spans="1:8" x14ac:dyDescent="0.25">
      <c r="A131" t="s">
        <v>54</v>
      </c>
      <c r="B131">
        <v>202105</v>
      </c>
      <c r="C131">
        <v>2147380000</v>
      </c>
      <c r="D131">
        <v>8908</v>
      </c>
      <c r="E131">
        <v>5.4344576828516802</v>
      </c>
      <c r="F131">
        <v>189520000</v>
      </c>
      <c r="G131" s="1">
        <f t="shared" si="7"/>
        <v>-4000000</v>
      </c>
      <c r="H131">
        <v>8859</v>
      </c>
    </row>
    <row r="132" spans="1:8" x14ac:dyDescent="0.25">
      <c r="A132" t="s">
        <v>56</v>
      </c>
      <c r="B132">
        <v>202105</v>
      </c>
      <c r="C132">
        <v>2147480000</v>
      </c>
      <c r="D132">
        <v>8921</v>
      </c>
      <c r="E132">
        <v>5.4423885259003004</v>
      </c>
      <c r="F132">
        <v>189300000</v>
      </c>
      <c r="G132" s="1">
        <f t="shared" si="7"/>
        <v>-4220000</v>
      </c>
      <c r="H132">
        <v>8534</v>
      </c>
    </row>
    <row r="133" spans="1:8" x14ac:dyDescent="0.25">
      <c r="A133" t="s">
        <v>49</v>
      </c>
      <c r="B133">
        <v>202106</v>
      </c>
      <c r="C133">
        <v>2147480000</v>
      </c>
      <c r="D133">
        <v>9842</v>
      </c>
      <c r="E133">
        <v>5.9897877830725497</v>
      </c>
      <c r="F133">
        <v>330220000</v>
      </c>
      <c r="G133" s="1">
        <f t="shared" si="7"/>
        <v>3780000</v>
      </c>
      <c r="H133">
        <v>12204</v>
      </c>
    </row>
    <row r="134" spans="1:8" x14ac:dyDescent="0.25">
      <c r="A134" t="s">
        <v>52</v>
      </c>
      <c r="B134">
        <v>202106</v>
      </c>
      <c r="C134">
        <v>2146960000</v>
      </c>
      <c r="D134">
        <v>9847</v>
      </c>
      <c r="E134">
        <v>5.9928307559353096</v>
      </c>
      <c r="F134">
        <v>330080000</v>
      </c>
      <c r="G134" s="1">
        <f t="shared" si="7"/>
        <v>3640000</v>
      </c>
      <c r="H134">
        <v>11395</v>
      </c>
    </row>
    <row r="135" spans="1:8" x14ac:dyDescent="0.25">
      <c r="A135" t="s">
        <v>48</v>
      </c>
      <c r="B135">
        <v>202106</v>
      </c>
      <c r="C135">
        <v>2147480000</v>
      </c>
      <c r="D135">
        <v>9840</v>
      </c>
      <c r="E135">
        <v>5.9885705939274398</v>
      </c>
      <c r="F135">
        <v>329540000</v>
      </c>
      <c r="G135" s="1">
        <f t="shared" si="7"/>
        <v>3100000</v>
      </c>
      <c r="H135">
        <v>12346</v>
      </c>
    </row>
    <row r="136" spans="1:8" x14ac:dyDescent="0.25">
      <c r="A136" t="s">
        <v>55</v>
      </c>
      <c r="B136">
        <v>202106</v>
      </c>
      <c r="C136">
        <v>2147480000</v>
      </c>
      <c r="D136">
        <v>9799</v>
      </c>
      <c r="E136">
        <v>5.9636182164527396</v>
      </c>
      <c r="F136">
        <v>329460000</v>
      </c>
      <c r="G136" s="1">
        <f t="shared" si="7"/>
        <v>3020000</v>
      </c>
      <c r="H136">
        <v>13514</v>
      </c>
    </row>
    <row r="137" spans="1:8" x14ac:dyDescent="0.25">
      <c r="A137" t="s">
        <v>53</v>
      </c>
      <c r="B137">
        <v>202106</v>
      </c>
      <c r="C137">
        <v>2147260000</v>
      </c>
      <c r="D137">
        <v>9839</v>
      </c>
      <c r="E137">
        <v>5.9879619993548898</v>
      </c>
      <c r="F137">
        <v>329060000</v>
      </c>
      <c r="G137" s="1">
        <f t="shared" si="7"/>
        <v>2620000</v>
      </c>
      <c r="H137">
        <v>11646</v>
      </c>
    </row>
    <row r="138" spans="1:8" x14ac:dyDescent="0.25">
      <c r="A138" t="s">
        <v>47</v>
      </c>
      <c r="B138">
        <v>202106</v>
      </c>
      <c r="C138">
        <v>2147480000</v>
      </c>
      <c r="D138">
        <v>9795</v>
      </c>
      <c r="E138">
        <v>5.9611838381625297</v>
      </c>
      <c r="F138">
        <v>329040000</v>
      </c>
      <c r="G138" s="1">
        <f t="shared" si="7"/>
        <v>2600000</v>
      </c>
      <c r="H138">
        <v>13387</v>
      </c>
    </row>
    <row r="139" spans="1:8" x14ac:dyDescent="0.25">
      <c r="A139" t="s">
        <v>50</v>
      </c>
      <c r="B139">
        <v>202106</v>
      </c>
      <c r="C139">
        <v>2146960000</v>
      </c>
      <c r="D139">
        <v>9843</v>
      </c>
      <c r="E139">
        <v>5.9903963776450997</v>
      </c>
      <c r="F139">
        <v>328960000</v>
      </c>
      <c r="G139" s="1">
        <f t="shared" si="7"/>
        <v>2520000</v>
      </c>
      <c r="H139">
        <v>12043</v>
      </c>
    </row>
    <row r="140" spans="1:8" x14ac:dyDescent="0.25">
      <c r="A140" t="s">
        <v>42</v>
      </c>
      <c r="B140">
        <v>202106</v>
      </c>
      <c r="C140">
        <v>2147480000</v>
      </c>
      <c r="D140">
        <v>9736</v>
      </c>
      <c r="E140">
        <v>5.9252767583818597</v>
      </c>
      <c r="F140">
        <v>328180000</v>
      </c>
      <c r="G140" s="1">
        <f t="shared" si="7"/>
        <v>1740000</v>
      </c>
      <c r="H140">
        <v>12274</v>
      </c>
    </row>
    <row r="141" spans="1:8" x14ac:dyDescent="0.25">
      <c r="A141" t="s">
        <v>51</v>
      </c>
      <c r="B141">
        <v>202106</v>
      </c>
      <c r="C141">
        <v>2147480000</v>
      </c>
      <c r="D141">
        <v>9828</v>
      </c>
      <c r="E141">
        <v>5.9812674590567996</v>
      </c>
      <c r="F141" s="1">
        <v>327640000</v>
      </c>
      <c r="G141" s="1">
        <f t="shared" si="7"/>
        <v>1200000</v>
      </c>
      <c r="H141">
        <v>11453</v>
      </c>
    </row>
    <row r="142" spans="1:8" x14ac:dyDescent="0.25">
      <c r="A142" t="s">
        <v>54</v>
      </c>
      <c r="B142">
        <v>202106</v>
      </c>
      <c r="C142">
        <v>2147480000</v>
      </c>
      <c r="D142">
        <v>9722</v>
      </c>
      <c r="E142">
        <v>5.9167564343661097</v>
      </c>
      <c r="F142">
        <v>327560000</v>
      </c>
      <c r="G142" s="1">
        <f t="shared" si="7"/>
        <v>1120000</v>
      </c>
      <c r="H142">
        <v>12853</v>
      </c>
    </row>
    <row r="143" spans="1:8" x14ac:dyDescent="0.25">
      <c r="A143" t="s">
        <v>56</v>
      </c>
      <c r="B143">
        <v>202106</v>
      </c>
      <c r="C143">
        <v>2147480000</v>
      </c>
      <c r="D143">
        <v>9751</v>
      </c>
      <c r="E143">
        <v>5.9344056769701696</v>
      </c>
      <c r="F143">
        <v>326940000</v>
      </c>
      <c r="G143" s="1">
        <f t="shared" si="7"/>
        <v>500000</v>
      </c>
      <c r="H143">
        <v>13160</v>
      </c>
    </row>
    <row r="144" spans="1:8" x14ac:dyDescent="0.25">
      <c r="A144" t="s">
        <v>40</v>
      </c>
      <c r="B144">
        <v>202106</v>
      </c>
      <c r="C144">
        <v>2147480000</v>
      </c>
      <c r="D144">
        <v>9931</v>
      </c>
      <c r="E144">
        <v>6.0439527000298199</v>
      </c>
      <c r="F144">
        <v>326720000</v>
      </c>
      <c r="G144" s="1">
        <f t="shared" si="7"/>
        <v>280000</v>
      </c>
      <c r="H144">
        <v>12267</v>
      </c>
    </row>
    <row r="145" spans="1:8" x14ac:dyDescent="0.25">
      <c r="A145" t="s">
        <v>46</v>
      </c>
      <c r="B145">
        <v>202106</v>
      </c>
      <c r="C145">
        <v>2147480000</v>
      </c>
      <c r="D145">
        <v>9879</v>
      </c>
      <c r="E145">
        <v>6.0123057822570303</v>
      </c>
      <c r="F145">
        <v>326500000</v>
      </c>
      <c r="G145" s="1">
        <f t="shared" si="7"/>
        <v>60000</v>
      </c>
      <c r="H145">
        <v>12434</v>
      </c>
    </row>
    <row r="146" spans="1:8" x14ac:dyDescent="0.25">
      <c r="A146" t="s">
        <v>34</v>
      </c>
      <c r="B146">
        <v>202106</v>
      </c>
      <c r="C146">
        <v>2147480000</v>
      </c>
      <c r="D146">
        <v>9791</v>
      </c>
      <c r="E146">
        <v>5.9587494598723101</v>
      </c>
      <c r="F146">
        <v>326440000</v>
      </c>
      <c r="G146" s="1">
        <f t="shared" si="7"/>
        <v>0</v>
      </c>
      <c r="H146">
        <v>0</v>
      </c>
    </row>
    <row r="147" spans="1:8" x14ac:dyDescent="0.25">
      <c r="A147" t="s">
        <v>44</v>
      </c>
      <c r="B147">
        <v>202106</v>
      </c>
      <c r="C147">
        <v>2147480000</v>
      </c>
      <c r="D147">
        <v>9799</v>
      </c>
      <c r="E147">
        <v>5.9636182164527396</v>
      </c>
      <c r="F147">
        <v>326340000</v>
      </c>
      <c r="G147" s="1">
        <f t="shared" si="7"/>
        <v>-100000</v>
      </c>
      <c r="H147">
        <v>12338</v>
      </c>
    </row>
    <row r="148" spans="1:8" x14ac:dyDescent="0.25">
      <c r="A148" t="s">
        <v>41</v>
      </c>
      <c r="B148">
        <v>202106</v>
      </c>
      <c r="C148">
        <v>2147300000</v>
      </c>
      <c r="D148">
        <v>9865</v>
      </c>
      <c r="E148">
        <v>6.0037854582412802</v>
      </c>
      <c r="F148">
        <v>325940000</v>
      </c>
      <c r="G148" s="1">
        <f t="shared" si="7"/>
        <v>-500000</v>
      </c>
      <c r="H148">
        <v>12066</v>
      </c>
    </row>
    <row r="149" spans="1:8" x14ac:dyDescent="0.25">
      <c r="A149" t="s">
        <v>38</v>
      </c>
      <c r="B149">
        <v>202106</v>
      </c>
      <c r="C149">
        <v>2147280000</v>
      </c>
      <c r="D149">
        <v>9804</v>
      </c>
      <c r="E149">
        <v>5.9666611893155101</v>
      </c>
      <c r="F149">
        <v>325320000</v>
      </c>
      <c r="G149" s="1">
        <f t="shared" si="7"/>
        <v>-1120000</v>
      </c>
      <c r="H149">
        <v>13721</v>
      </c>
    </row>
    <row r="150" spans="1:8" x14ac:dyDescent="0.25">
      <c r="A150" t="s">
        <v>45</v>
      </c>
      <c r="B150">
        <v>202106</v>
      </c>
      <c r="C150">
        <v>2147260000</v>
      </c>
      <c r="D150">
        <v>9804</v>
      </c>
      <c r="E150">
        <v>5.9666611893155101</v>
      </c>
      <c r="F150">
        <v>325040000</v>
      </c>
      <c r="G150" s="1">
        <f t="shared" si="7"/>
        <v>-1400000</v>
      </c>
      <c r="H150">
        <v>12547</v>
      </c>
    </row>
    <row r="151" spans="1:8" x14ac:dyDescent="0.25">
      <c r="A151" t="s">
        <v>39</v>
      </c>
      <c r="B151">
        <v>202106</v>
      </c>
      <c r="C151">
        <v>2147400000</v>
      </c>
      <c r="D151">
        <v>9896</v>
      </c>
      <c r="E151">
        <v>6.0226518899904402</v>
      </c>
      <c r="F151">
        <v>324720000</v>
      </c>
      <c r="G151" s="1">
        <f t="shared" si="7"/>
        <v>-1720000</v>
      </c>
      <c r="H151">
        <v>12623</v>
      </c>
    </row>
    <row r="152" spans="1:8" x14ac:dyDescent="0.25">
      <c r="A152" t="s">
        <v>43</v>
      </c>
      <c r="B152">
        <v>202106</v>
      </c>
      <c r="C152">
        <v>2147340000</v>
      </c>
      <c r="D152">
        <v>9781</v>
      </c>
      <c r="E152">
        <v>5.9526635141467796</v>
      </c>
      <c r="F152">
        <v>324240000</v>
      </c>
      <c r="G152" s="1">
        <f t="shared" si="7"/>
        <v>-2200000</v>
      </c>
      <c r="H152">
        <v>13595</v>
      </c>
    </row>
  </sheetData>
  <conditionalFormatting sqref="F2:G82 G2:G8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93:G15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2:AF2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:W3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datos_combinados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Nicolás Caricati</dc:creator>
  <cp:lastModifiedBy>Nicolas Caricati</cp:lastModifiedBy>
  <dcterms:created xsi:type="dcterms:W3CDTF">2025-11-02T23:51:11Z</dcterms:created>
  <dcterms:modified xsi:type="dcterms:W3CDTF">2025-12-05T20:08:50Z</dcterms:modified>
</cp:coreProperties>
</file>