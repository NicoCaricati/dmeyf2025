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esktop\Seguimiento\"/>
    </mc:Choice>
  </mc:AlternateContent>
  <xr:revisionPtr revIDLastSave="0" documentId="8_{00AF0E54-DC0E-4854-A063-694F9FD196BB}" xr6:coauthVersionLast="47" xr6:coauthVersionMax="47" xr10:uidLastSave="{00000000-0000-0000-0000-000000000000}"/>
  <bookViews>
    <workbookView xWindow="-120" yWindow="-120" windowWidth="29040" windowHeight="15720" xr2:uid="{30EA92EB-E2D7-4525-9329-63742C5CE550}"/>
  </bookViews>
  <sheets>
    <sheet name="datos_combinados" sheetId="1" r:id="rId1"/>
  </sheets>
  <definedNames>
    <definedName name="_xlnm._FilterDatabase" localSheetId="0" hidden="1">datos_combinados!$A$1:$G$209</definedName>
  </definedNames>
  <calcPr calcId="0"/>
</workbook>
</file>

<file path=xl/calcChain.xml><?xml version="1.0" encoding="utf-8"?>
<calcChain xmlns="http://schemas.openxmlformats.org/spreadsheetml/2006/main">
  <c r="F67" i="1" l="1"/>
  <c r="G67" i="1" s="1"/>
  <c r="F66" i="1"/>
  <c r="G66" i="1" s="1"/>
  <c r="F153" i="1"/>
  <c r="G153" i="1" s="1"/>
  <c r="F164" i="1"/>
  <c r="G164" i="1" s="1"/>
  <c r="F186" i="1"/>
  <c r="G186" i="1" s="1"/>
  <c r="F138" i="1"/>
  <c r="G138" i="1" s="1"/>
  <c r="F194" i="1"/>
  <c r="G194" i="1" s="1"/>
  <c r="F172" i="1"/>
  <c r="G172" i="1" s="1"/>
  <c r="F155" i="1"/>
  <c r="G155" i="1" s="1"/>
  <c r="F142" i="1"/>
  <c r="G142" i="1" s="1"/>
  <c r="F163" i="1"/>
  <c r="G163" i="1" s="1"/>
  <c r="F126" i="1"/>
  <c r="G126" i="1" s="1"/>
  <c r="F74" i="1"/>
  <c r="G74" i="1" s="1"/>
  <c r="F93" i="1"/>
  <c r="G93" i="1" s="1"/>
  <c r="F73" i="1"/>
  <c r="G73" i="1" s="1"/>
  <c r="F92" i="1"/>
  <c r="G92" i="1" s="1"/>
  <c r="F78" i="1"/>
  <c r="G78" i="1" s="1"/>
  <c r="F141" i="1"/>
  <c r="G141" i="1" s="1"/>
  <c r="F122" i="1"/>
  <c r="G122" i="1" s="1"/>
  <c r="F107" i="1"/>
  <c r="G107" i="1" s="1"/>
  <c r="F129" i="1"/>
  <c r="G129" i="1" s="1"/>
  <c r="F111" i="1"/>
  <c r="G111" i="1" s="1"/>
  <c r="F206" i="1"/>
  <c r="G206" i="1" s="1"/>
  <c r="F191" i="1"/>
  <c r="G191" i="1" s="1"/>
  <c r="F205" i="1"/>
  <c r="G205" i="1" s="1"/>
  <c r="F208" i="1"/>
  <c r="G208" i="1" s="1"/>
  <c r="F181" i="1"/>
  <c r="G181" i="1" s="1"/>
  <c r="F190" i="1"/>
  <c r="G190" i="1" s="1"/>
  <c r="F193" i="1"/>
  <c r="G193" i="1" s="1"/>
  <c r="F176" i="1"/>
  <c r="G176" i="1" s="1"/>
  <c r="F162" i="1"/>
  <c r="G162" i="1" s="1"/>
  <c r="F189" i="1"/>
  <c r="G189" i="1" s="1"/>
  <c r="F79" i="1"/>
  <c r="G79" i="1" s="1"/>
  <c r="F91" i="1"/>
  <c r="G91" i="1" s="1"/>
  <c r="F72" i="1"/>
  <c r="G72" i="1" s="1"/>
  <c r="F106" i="1"/>
  <c r="G106" i="1" s="1"/>
  <c r="F89" i="1"/>
  <c r="G89" i="1" s="1"/>
  <c r="F167" i="1"/>
  <c r="G167" i="1" s="1"/>
  <c r="F128" i="1"/>
  <c r="G128" i="1" s="1"/>
  <c r="F171" i="1"/>
  <c r="G171" i="1" s="1"/>
  <c r="F145" i="1"/>
  <c r="G145" i="1" s="1"/>
  <c r="F110" i="1"/>
  <c r="G110" i="1" s="1"/>
  <c r="F105" i="1"/>
  <c r="G105" i="1" s="1"/>
  <c r="F102" i="1"/>
  <c r="G102" i="1" s="1"/>
  <c r="F83" i="1"/>
  <c r="G83" i="1" s="1"/>
  <c r="F125" i="1"/>
  <c r="G125" i="1" s="1"/>
  <c r="F121" i="1"/>
  <c r="G121" i="1" s="1"/>
  <c r="F180" i="1"/>
  <c r="G180" i="1" s="1"/>
  <c r="F144" i="1"/>
  <c r="G144" i="1" s="1"/>
  <c r="F166" i="1"/>
  <c r="G166" i="1" s="1"/>
  <c r="F149" i="1"/>
  <c r="G149" i="1" s="1"/>
  <c r="F201" i="1"/>
  <c r="G201" i="1" s="1"/>
  <c r="F120" i="1"/>
  <c r="G120" i="1" s="1"/>
  <c r="F99" i="1"/>
  <c r="G99" i="1" s="1"/>
  <c r="F104" i="1"/>
  <c r="G104" i="1" s="1"/>
  <c r="F116" i="1"/>
  <c r="G116" i="1" s="1"/>
  <c r="F98" i="1"/>
  <c r="G98" i="1" s="1"/>
  <c r="F148" i="1"/>
  <c r="G148" i="1" s="1"/>
  <c r="F169" i="1"/>
  <c r="G169" i="1" s="1"/>
  <c r="F192" i="1"/>
  <c r="G192" i="1" s="1"/>
  <c r="F185" i="1"/>
  <c r="G185" i="1" s="1"/>
  <c r="F168" i="1"/>
  <c r="G168" i="1" s="1"/>
  <c r="F75" i="1"/>
  <c r="G75" i="1" s="1"/>
  <c r="F82" i="1"/>
  <c r="G82" i="1" s="1"/>
  <c r="F118" i="1"/>
  <c r="G118" i="1" s="1"/>
  <c r="F109" i="1"/>
  <c r="G109" i="1" s="1"/>
  <c r="F81" i="1"/>
  <c r="G81" i="1" s="1"/>
  <c r="F174" i="1"/>
  <c r="G174" i="1" s="1"/>
  <c r="F203" i="1"/>
  <c r="G203" i="1" s="1"/>
  <c r="F198" i="1"/>
  <c r="G198" i="1" s="1"/>
  <c r="F179" i="1"/>
  <c r="G179" i="1" s="1"/>
  <c r="F143" i="1"/>
  <c r="G143" i="1" s="1"/>
  <c r="F69" i="1"/>
  <c r="G69" i="1" s="1"/>
  <c r="F84" i="1"/>
  <c r="G84" i="1" s="1"/>
  <c r="F68" i="1"/>
  <c r="G68" i="1" s="1"/>
  <c r="F80" i="1"/>
  <c r="G80" i="1" s="1"/>
  <c r="F71" i="1"/>
  <c r="G71" i="1" s="1"/>
  <c r="F170" i="1"/>
  <c r="G170" i="1" s="1"/>
  <c r="F199" i="1"/>
  <c r="G199" i="1" s="1"/>
  <c r="F137" i="1"/>
  <c r="G137" i="1" s="1"/>
  <c r="F197" i="1"/>
  <c r="G197" i="1" s="1"/>
  <c r="F165" i="1"/>
  <c r="G165" i="1" s="1"/>
  <c r="F202" i="1"/>
  <c r="G202" i="1" s="1"/>
  <c r="F207" i="1"/>
  <c r="G207" i="1" s="1"/>
  <c r="F204" i="1"/>
  <c r="G204" i="1" s="1"/>
  <c r="F196" i="1"/>
  <c r="G196" i="1" s="1"/>
  <c r="F209" i="1"/>
  <c r="G209" i="1" s="1"/>
  <c r="F88" i="1"/>
  <c r="G88" i="1" s="1"/>
  <c r="F90" i="1"/>
  <c r="G90" i="1" s="1"/>
  <c r="F124" i="1"/>
  <c r="G124" i="1" s="1"/>
  <c r="F87" i="1"/>
  <c r="G87" i="1" s="1"/>
  <c r="F117" i="1"/>
  <c r="G117" i="1" s="1"/>
  <c r="F94" i="1"/>
  <c r="G94" i="1" s="1"/>
  <c r="F86" i="1"/>
  <c r="G86" i="1" s="1"/>
  <c r="F115" i="1"/>
  <c r="G115" i="1" s="1"/>
  <c r="F119" i="1"/>
  <c r="G119" i="1" s="1"/>
  <c r="F70" i="1"/>
  <c r="G70" i="1" s="1"/>
  <c r="F77" i="1"/>
  <c r="G77" i="1" s="1"/>
  <c r="F97" i="1"/>
  <c r="G97" i="1" s="1"/>
  <c r="F76" i="1"/>
  <c r="G76" i="1" s="1"/>
  <c r="F108" i="1"/>
  <c r="G108" i="1" s="1"/>
  <c r="F85" i="1"/>
  <c r="G85" i="1" s="1"/>
  <c r="F43" i="1"/>
  <c r="G43" i="1" s="1"/>
  <c r="F42" i="1"/>
  <c r="G42" i="1" s="1"/>
  <c r="F50" i="1"/>
  <c r="G50" i="1" s="1"/>
  <c r="F51" i="1"/>
  <c r="G51" i="1" s="1"/>
  <c r="F60" i="1"/>
  <c r="G60" i="1" s="1"/>
  <c r="F62" i="1"/>
  <c r="G62" i="1" s="1"/>
  <c r="F56" i="1"/>
  <c r="G56" i="1" s="1"/>
  <c r="F27" i="1"/>
  <c r="G27" i="1" s="1"/>
  <c r="F57" i="1"/>
  <c r="G57" i="1" s="1"/>
  <c r="F61" i="1"/>
  <c r="G61" i="1" s="1"/>
  <c r="F63" i="1"/>
  <c r="G63" i="1" s="1"/>
  <c r="F59" i="1"/>
  <c r="G59" i="1" s="1"/>
  <c r="F55" i="1"/>
  <c r="G55" i="1" s="1"/>
  <c r="F65" i="1"/>
  <c r="G65" i="1" s="1"/>
  <c r="F47" i="1"/>
  <c r="G47" i="1" s="1"/>
  <c r="F54" i="1"/>
  <c r="G54" i="1" s="1"/>
  <c r="F53" i="1"/>
  <c r="G53" i="1" s="1"/>
  <c r="F48" i="1"/>
  <c r="G48" i="1" s="1"/>
  <c r="F52" i="1"/>
  <c r="G52" i="1" s="1"/>
  <c r="F49" i="1"/>
  <c r="G49" i="1" s="1"/>
  <c r="F58" i="1"/>
  <c r="G58" i="1" s="1"/>
  <c r="F64" i="1"/>
  <c r="G64" i="1" s="1"/>
  <c r="F114" i="1"/>
  <c r="G114" i="1" s="1"/>
  <c r="F113" i="1"/>
  <c r="G113" i="1" s="1"/>
  <c r="F132" i="1"/>
  <c r="G132" i="1" s="1"/>
  <c r="F103" i="1"/>
  <c r="G103" i="1" s="1"/>
  <c r="F96" i="1"/>
  <c r="G96" i="1" s="1"/>
  <c r="F140" i="1"/>
  <c r="G140" i="1" s="1"/>
  <c r="F95" i="1"/>
  <c r="G95" i="1" s="1"/>
  <c r="F18" i="1"/>
  <c r="G18" i="1" s="1"/>
  <c r="F17" i="1"/>
  <c r="G17" i="1" s="1"/>
  <c r="F46" i="1"/>
  <c r="G46" i="1" s="1"/>
  <c r="F39" i="1"/>
  <c r="G39" i="1" s="1"/>
  <c r="F44" i="1"/>
  <c r="G44" i="1" s="1"/>
  <c r="F40" i="1"/>
  <c r="G40" i="1" s="1"/>
  <c r="F38" i="1"/>
  <c r="G38" i="1" s="1"/>
  <c r="F152" i="1"/>
  <c r="G152" i="1" s="1"/>
  <c r="F151" i="1"/>
  <c r="G151" i="1" s="1"/>
  <c r="F173" i="1"/>
  <c r="G173" i="1" s="1"/>
  <c r="F178" i="1"/>
  <c r="G178" i="1" s="1"/>
  <c r="F177" i="1"/>
  <c r="G177" i="1" s="1"/>
  <c r="F147" i="1"/>
  <c r="G147" i="1" s="1"/>
  <c r="F158" i="1"/>
  <c r="G158" i="1" s="1"/>
  <c r="F35" i="1"/>
  <c r="G35" i="1" s="1"/>
  <c r="F34" i="1"/>
  <c r="G34" i="1" s="1"/>
  <c r="F45" i="1"/>
  <c r="G45" i="1" s="1"/>
  <c r="F33" i="1"/>
  <c r="G33" i="1" s="1"/>
  <c r="F32" i="1"/>
  <c r="G32" i="1" s="1"/>
  <c r="F30" i="1"/>
  <c r="G30" i="1" s="1"/>
  <c r="F26" i="1"/>
  <c r="G26" i="1" s="1"/>
  <c r="F184" i="1"/>
  <c r="G184" i="1" s="1"/>
  <c r="F183" i="1"/>
  <c r="G183" i="1" s="1"/>
  <c r="F161" i="1"/>
  <c r="G161" i="1" s="1"/>
  <c r="F150" i="1"/>
  <c r="G150" i="1" s="1"/>
  <c r="F188" i="1"/>
  <c r="G188" i="1" s="1"/>
  <c r="F200" i="1"/>
  <c r="G200" i="1" s="1"/>
  <c r="F195" i="1"/>
  <c r="G195" i="1" s="1"/>
  <c r="F6" i="1"/>
  <c r="G6" i="1" s="1"/>
  <c r="F5" i="1"/>
  <c r="G5" i="1" s="1"/>
  <c r="F37" i="1"/>
  <c r="G37" i="1" s="1"/>
  <c r="F10" i="1"/>
  <c r="G10" i="1" s="1"/>
  <c r="F7" i="1"/>
  <c r="G7" i="1" s="1"/>
  <c r="F19" i="1"/>
  <c r="G19" i="1" s="1"/>
  <c r="F3" i="1"/>
  <c r="G3" i="1" s="1"/>
  <c r="F136" i="1"/>
  <c r="G136" i="1" s="1"/>
  <c r="F135" i="1"/>
  <c r="G135" i="1" s="1"/>
  <c r="F127" i="1"/>
  <c r="G127" i="1" s="1"/>
  <c r="F101" i="1"/>
  <c r="G101" i="1" s="1"/>
  <c r="F146" i="1"/>
  <c r="G146" i="1" s="1"/>
  <c r="F157" i="1"/>
  <c r="G157" i="1" s="1"/>
  <c r="F100" i="1"/>
  <c r="G100" i="1" s="1"/>
  <c r="F9" i="1"/>
  <c r="G9" i="1" s="1"/>
  <c r="F8" i="1"/>
  <c r="G8" i="1" s="1"/>
  <c r="F25" i="1"/>
  <c r="G25" i="1" s="1"/>
  <c r="F29" i="1"/>
  <c r="G29" i="1" s="1"/>
  <c r="F4" i="1"/>
  <c r="G4" i="1" s="1"/>
  <c r="F28" i="1"/>
  <c r="G28" i="1" s="1"/>
  <c r="F2" i="1"/>
  <c r="G2" i="1" s="1"/>
  <c r="F131" i="1"/>
  <c r="G131" i="1" s="1"/>
  <c r="F130" i="1"/>
  <c r="G130" i="1" s="1"/>
  <c r="F134" i="1"/>
  <c r="G134" i="1" s="1"/>
  <c r="F112" i="1"/>
  <c r="G112" i="1" s="1"/>
  <c r="F139" i="1"/>
  <c r="G139" i="1" s="1"/>
  <c r="F133" i="1"/>
  <c r="G133" i="1" s="1"/>
  <c r="F123" i="1"/>
  <c r="G123" i="1" s="1"/>
  <c r="F15" i="1"/>
  <c r="G15" i="1" s="1"/>
  <c r="F14" i="1"/>
  <c r="G14" i="1" s="1"/>
  <c r="F13" i="1"/>
  <c r="G13" i="1" s="1"/>
  <c r="F24" i="1"/>
  <c r="G24" i="1" s="1"/>
  <c r="F12" i="1"/>
  <c r="G12" i="1" s="1"/>
  <c r="F16" i="1"/>
  <c r="G16" i="1" s="1"/>
  <c r="F31" i="1"/>
  <c r="G31" i="1" s="1"/>
  <c r="F160" i="1"/>
  <c r="G160" i="1" s="1"/>
  <c r="F159" i="1"/>
  <c r="G159" i="1" s="1"/>
  <c r="F175" i="1"/>
  <c r="G175" i="1" s="1"/>
  <c r="F156" i="1"/>
  <c r="G156" i="1" s="1"/>
  <c r="F182" i="1"/>
  <c r="G182" i="1" s="1"/>
  <c r="F154" i="1"/>
  <c r="G154" i="1" s="1"/>
  <c r="F187" i="1"/>
  <c r="G187" i="1" s="1"/>
  <c r="F22" i="1"/>
  <c r="G22" i="1" s="1"/>
  <c r="F21" i="1"/>
  <c r="G21" i="1" s="1"/>
  <c r="F41" i="1"/>
  <c r="G41" i="1" s="1"/>
  <c r="F23" i="1"/>
  <c r="G23" i="1" s="1"/>
  <c r="F36" i="1"/>
  <c r="G36" i="1" s="1"/>
  <c r="F11" i="1"/>
  <c r="G11" i="1" s="1"/>
  <c r="F20" i="1"/>
  <c r="G20" i="1" s="1"/>
  <c r="O3" i="1" l="1" a="1"/>
  <c r="O3" i="1" s="1"/>
  <c r="P3" i="1" s="1"/>
  <c r="P210" i="1"/>
  <c r="P194" i="1"/>
  <c r="P178" i="1"/>
  <c r="P209" i="1"/>
  <c r="P193" i="1"/>
  <c r="P177" i="1"/>
  <c r="P196" i="1"/>
  <c r="P208" i="1"/>
  <c r="P192" i="1"/>
  <c r="P180" i="1"/>
  <c r="P207" i="1"/>
  <c r="P191" i="1"/>
  <c r="P179" i="1"/>
  <c r="P206" i="1"/>
  <c r="P190" i="1"/>
  <c r="P205" i="1"/>
  <c r="P189" i="1"/>
  <c r="P204" i="1"/>
  <c r="P188" i="1"/>
  <c r="P203" i="1"/>
  <c r="P187" i="1"/>
  <c r="P202" i="1"/>
  <c r="P186" i="1"/>
  <c r="P201" i="1"/>
  <c r="P185" i="1"/>
  <c r="P200" i="1"/>
  <c r="P184" i="1"/>
  <c r="P199" i="1"/>
  <c r="P183" i="1"/>
  <c r="P198" i="1"/>
  <c r="P182" i="1"/>
  <c r="P197" i="1"/>
  <c r="P181" i="1"/>
  <c r="P195" i="1"/>
  <c r="P84" i="1" l="1"/>
  <c r="P7" i="1"/>
  <c r="P8" i="1"/>
  <c r="P41" i="1"/>
  <c r="P58" i="1"/>
  <c r="P75" i="1"/>
  <c r="P92" i="1"/>
  <c r="P109" i="1"/>
  <c r="P142" i="1"/>
  <c r="P159" i="1"/>
  <c r="P36" i="1"/>
  <c r="P6" i="1"/>
  <c r="P23" i="1"/>
  <c r="P24" i="1"/>
  <c r="P57" i="1"/>
  <c r="P74" i="1"/>
  <c r="P91" i="1"/>
  <c r="P108" i="1"/>
  <c r="P125" i="1"/>
  <c r="P158" i="1"/>
  <c r="P175" i="1"/>
  <c r="P50" i="1"/>
  <c r="P17" i="1"/>
  <c r="P66" i="1"/>
  <c r="P16" i="1"/>
  <c r="P33" i="1"/>
  <c r="P82" i="1"/>
  <c r="P51" i="1"/>
  <c r="P67" i="1"/>
  <c r="P68" i="1"/>
  <c r="P132" i="1"/>
  <c r="P25" i="1"/>
  <c r="P42" i="1"/>
  <c r="P59" i="1"/>
  <c r="P76" i="1"/>
  <c r="P93" i="1"/>
  <c r="P126" i="1"/>
  <c r="P143" i="1"/>
  <c r="P176" i="1"/>
  <c r="P20" i="1"/>
  <c r="P32" i="1"/>
  <c r="P49" i="1"/>
  <c r="P98" i="1"/>
  <c r="P18" i="1"/>
  <c r="P5" i="1"/>
  <c r="P22" i="1"/>
  <c r="P39" i="1"/>
  <c r="P40" i="1"/>
  <c r="P73" i="1"/>
  <c r="P90" i="1"/>
  <c r="P107" i="1"/>
  <c r="P124" i="1"/>
  <c r="P141" i="1"/>
  <c r="P174" i="1"/>
  <c r="P100" i="1"/>
  <c r="P15" i="1"/>
  <c r="P48" i="1"/>
  <c r="P65" i="1"/>
  <c r="P114" i="1"/>
  <c r="P131" i="1"/>
  <c r="P34" i="1"/>
  <c r="P21" i="1"/>
  <c r="P38" i="1"/>
  <c r="P55" i="1"/>
  <c r="P56" i="1"/>
  <c r="P89" i="1"/>
  <c r="P106" i="1"/>
  <c r="P123" i="1"/>
  <c r="P140" i="1"/>
  <c r="P157" i="1"/>
  <c r="P163" i="1"/>
  <c r="P14" i="1"/>
  <c r="P31" i="1"/>
  <c r="P64" i="1"/>
  <c r="P81" i="1"/>
  <c r="P130" i="1"/>
  <c r="P19" i="1"/>
  <c r="P148" i="1"/>
  <c r="P30" i="1"/>
  <c r="P47" i="1"/>
  <c r="P80" i="1"/>
  <c r="P97" i="1"/>
  <c r="P146" i="1"/>
  <c r="P37" i="1"/>
  <c r="P54" i="1"/>
  <c r="P71" i="1"/>
  <c r="P72" i="1"/>
  <c r="P105" i="1"/>
  <c r="P122" i="1"/>
  <c r="P139" i="1"/>
  <c r="P156" i="1"/>
  <c r="P173" i="1"/>
  <c r="P53" i="1"/>
  <c r="P70" i="1"/>
  <c r="P87" i="1"/>
  <c r="P88" i="1"/>
  <c r="P121" i="1"/>
  <c r="P138" i="1"/>
  <c r="P155" i="1"/>
  <c r="P172" i="1"/>
  <c r="P69" i="1"/>
  <c r="P86" i="1"/>
  <c r="P103" i="1"/>
  <c r="P104" i="1"/>
  <c r="P137" i="1"/>
  <c r="P154" i="1"/>
  <c r="P171" i="1"/>
  <c r="P85" i="1"/>
  <c r="P102" i="1"/>
  <c r="P119" i="1"/>
  <c r="P120" i="1"/>
  <c r="P153" i="1"/>
  <c r="P170" i="1"/>
  <c r="P101" i="1"/>
  <c r="P118" i="1"/>
  <c r="P135" i="1"/>
  <c r="P136" i="1"/>
  <c r="P169" i="1"/>
  <c r="P117" i="1"/>
  <c r="P134" i="1"/>
  <c r="P151" i="1"/>
  <c r="P152" i="1"/>
  <c r="P133" i="1"/>
  <c r="P150" i="1"/>
  <c r="P167" i="1"/>
  <c r="P168" i="1"/>
  <c r="P35" i="1"/>
  <c r="P164" i="1"/>
  <c r="P13" i="1"/>
  <c r="P46" i="1"/>
  <c r="P63" i="1"/>
  <c r="P96" i="1"/>
  <c r="P113" i="1"/>
  <c r="P162" i="1"/>
  <c r="P99" i="1"/>
  <c r="P52" i="1"/>
  <c r="P12" i="1"/>
  <c r="P29" i="1"/>
  <c r="P62" i="1"/>
  <c r="P79" i="1"/>
  <c r="P112" i="1"/>
  <c r="P129" i="1"/>
  <c r="P116" i="1"/>
  <c r="P11" i="1"/>
  <c r="P28" i="1"/>
  <c r="P45" i="1"/>
  <c r="P78" i="1"/>
  <c r="P95" i="1"/>
  <c r="P128" i="1"/>
  <c r="P145" i="1"/>
  <c r="P149" i="1"/>
  <c r="P166" i="1"/>
  <c r="P165" i="1"/>
  <c r="P115" i="1"/>
  <c r="P147" i="1"/>
  <c r="P10" i="1"/>
  <c r="P27" i="1"/>
  <c r="P44" i="1"/>
  <c r="P61" i="1"/>
  <c r="P94" i="1"/>
  <c r="P111" i="1"/>
  <c r="P144" i="1"/>
  <c r="P161" i="1"/>
  <c r="P83" i="1"/>
  <c r="P4" i="1"/>
  <c r="P9" i="1"/>
  <c r="P26" i="1"/>
  <c r="P43" i="1"/>
  <c r="P60" i="1"/>
  <c r="P77" i="1"/>
  <c r="P110" i="1"/>
  <c r="P127" i="1"/>
  <c r="P16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<sst xmlns="http://schemas.openxmlformats.org/spreadsheetml/2006/main" count="631" uniqueCount="169">
  <si>
    <t>mes</t>
  </si>
  <si>
    <t>grupo</t>
  </si>
  <si>
    <t>modelo_id</t>
  </si>
  <si>
    <t>ganancia_test</t>
  </si>
  <si>
    <t>archivo</t>
  </si>
  <si>
    <t>april</t>
  </si>
  <si>
    <t>april_seed1</t>
  </si>
  <si>
    <t>ganancias_Modelo Final US 0.2 - Uso Meses Corridos V2 - Pruebo Undersampling solo en Meses viejos V2_202104.csv</t>
  </si>
  <si>
    <t>april_seed2</t>
  </si>
  <si>
    <t>april_seed3</t>
  </si>
  <si>
    <t>april_seed4</t>
  </si>
  <si>
    <t>april_seed5</t>
  </si>
  <si>
    <t>GLOBAL</t>
  </si>
  <si>
    <t>ensamble_global</t>
  </si>
  <si>
    <t>GRUPOS</t>
  </si>
  <si>
    <t>ensamble_grupos</t>
  </si>
  <si>
    <t>june</t>
  </si>
  <si>
    <t>june_seed1</t>
  </si>
  <si>
    <t>ganancias_Modelo Final US 0.2 - Uso Meses Corridos V2 - Pruebo Undersampling solo en Meses viejos V2_202106.csv</t>
  </si>
  <si>
    <t>june_seed2</t>
  </si>
  <si>
    <t>june_seed3</t>
  </si>
  <si>
    <t>june_seed4</t>
  </si>
  <si>
    <t>june_seed5</t>
  </si>
  <si>
    <t>final_training_april</t>
  </si>
  <si>
    <t>final_training_april_seed1</t>
  </si>
  <si>
    <t>ganancias_Modelo Final US 0.2 - Uso Meses Corridos V2 - Saco los CTRL Adicionales_202104.csv</t>
  </si>
  <si>
    <t>final_training_april_seed2</t>
  </si>
  <si>
    <t>final_training_april_seed3</t>
  </si>
  <si>
    <t>final_training_april_seed4</t>
  </si>
  <si>
    <t>final_training_april_seed5</t>
  </si>
  <si>
    <t>final_training_june</t>
  </si>
  <si>
    <t>final_training_june_seed1</t>
  </si>
  <si>
    <t>ganancias_Modelo Final US 0.2 - Uso Meses Corridos V2 - Saco los CTRL Adicionales_202106.csv</t>
  </si>
  <si>
    <t>final_training_june_seed2</t>
  </si>
  <si>
    <t>final_training_june_seed3</t>
  </si>
  <si>
    <t>final_training_june_seed4</t>
  </si>
  <si>
    <t>final_training_june_seed5</t>
  </si>
  <si>
    <t>ganancias_Modelo Final US 0.2 - Uso Meses Corridos V2_202104.csv</t>
  </si>
  <si>
    <t>ganancias_Modelo Final US 0.2 - Uso Meses Corridos V2_202106.csv</t>
  </si>
  <si>
    <t>ganancias_Modelo Final US 0.2 - Uso Meses Corridos V3 - Agrego a meses viejos seasonality_202104.csv</t>
  </si>
  <si>
    <t>ganancias_Modelo Final US 0.2 - Uso Meses Corridos V3 - Agrego a meses viejos seasonality_202106.csv</t>
  </si>
  <si>
    <t>ganancias_Modelo Final US 0.2 - Uso Meses Corridos y seasonality - Cambio IPC por Percentiles Rank (200 Percentiles) V2_202104.csv</t>
  </si>
  <si>
    <t>ganancias_Modelo Final US 0.2 - Uso Meses Corridos y seasonality - Cambio IPC por Percentiles Rank (200 Percentiles) V2_202106.csv</t>
  </si>
  <si>
    <t>ganancias_Modelo Final US 0.2 - Uso Meses Corridos y seasonality - Cambio IPC por Percentiles Rank V2_202104.csv</t>
  </si>
  <si>
    <t>ganancias_Modelo Final US 0.2 - Uso Meses Corridos y seasonality - Cambio IPC por Percentiles Rank V2_202106.csv</t>
  </si>
  <si>
    <t>rolling_01</t>
  </si>
  <si>
    <t>rolling_01_seed1</t>
  </si>
  <si>
    <t>ganancias_modelos_202104_20251118_132939 (Base).csv</t>
  </si>
  <si>
    <t>rolling_02</t>
  </si>
  <si>
    <t>rolling_02_seed1</t>
  </si>
  <si>
    <t>rolling_03</t>
  </si>
  <si>
    <t>rolling_03_seed1</t>
  </si>
  <si>
    <t>rolling_04</t>
  </si>
  <si>
    <t>rolling_04_seed1</t>
  </si>
  <si>
    <t>rolling_05</t>
  </si>
  <si>
    <t>rolling_05_seed1</t>
  </si>
  <si>
    <t>rolling_06</t>
  </si>
  <si>
    <t>rolling_06_seed1</t>
  </si>
  <si>
    <t>rolling_07</t>
  </si>
  <si>
    <t>rolling_07_seed1</t>
  </si>
  <si>
    <t>seasonal_summer</t>
  </si>
  <si>
    <t>seasonal_summer_seed1</t>
  </si>
  <si>
    <t>seasonal_autumn</t>
  </si>
  <si>
    <t>seasonal_autumn_seed1</t>
  </si>
  <si>
    <t>seasonal_winter</t>
  </si>
  <si>
    <t>seasonal_winter_seed1</t>
  </si>
  <si>
    <t>seasonal_spring</t>
  </si>
  <si>
    <t>seasonal_spring_seed1</t>
  </si>
  <si>
    <t>seasonal_end_of_year</t>
  </si>
  <si>
    <t>seasonal_end_of_year_seed1</t>
  </si>
  <si>
    <t>seasonal_q1</t>
  </si>
  <si>
    <t>seasonal_q1_seed1</t>
  </si>
  <si>
    <t>seasonal_q2</t>
  </si>
  <si>
    <t>seasonal_q2_seed1</t>
  </si>
  <si>
    <t>mixed_recent_01</t>
  </si>
  <si>
    <t>mixed_recent_01_seed1</t>
  </si>
  <si>
    <t>mixed_recent_02</t>
  </si>
  <si>
    <t>mixed_recent_02_seed1</t>
  </si>
  <si>
    <t>mixed_early_01</t>
  </si>
  <si>
    <t>mixed_early_01_seed1</t>
  </si>
  <si>
    <t>mixed_early_02</t>
  </si>
  <si>
    <t>mixed_early_02_seed1</t>
  </si>
  <si>
    <t>mixed_transition</t>
  </si>
  <si>
    <t>mixed_transition_seed1</t>
  </si>
  <si>
    <t>mixed_full_year</t>
  </si>
  <si>
    <t>mixed_full_year_seed1</t>
  </si>
  <si>
    <t>ganancias_modelos_202106_20251118_171756 (Base).csv</t>
  </si>
  <si>
    <t>rolling_01_seed2</t>
  </si>
  <si>
    <t>rolling_01_seed3</t>
  </si>
  <si>
    <t>rolling_01_seed4</t>
  </si>
  <si>
    <t>rolling_01_seed5</t>
  </si>
  <si>
    <t>rolling_02_seed2</t>
  </si>
  <si>
    <t>rolling_02_seed3</t>
  </si>
  <si>
    <t>rolling_02_seed4</t>
  </si>
  <si>
    <t>rolling_02_seed5</t>
  </si>
  <si>
    <t>rolling_03_seed2</t>
  </si>
  <si>
    <t>rolling_03_seed3</t>
  </si>
  <si>
    <t>rolling_03_seed4</t>
  </si>
  <si>
    <t>rolling_03_seed5</t>
  </si>
  <si>
    <t>rolling_04_seed2</t>
  </si>
  <si>
    <t>rolling_04_seed3</t>
  </si>
  <si>
    <t>rolling_04_seed4</t>
  </si>
  <si>
    <t>rolling_04_seed5</t>
  </si>
  <si>
    <t>rolling_05_seed2</t>
  </si>
  <si>
    <t>rolling_05_seed3</t>
  </si>
  <si>
    <t>rolling_05_seed4</t>
  </si>
  <si>
    <t>rolling_05_seed5</t>
  </si>
  <si>
    <t>rolling_06_seed2</t>
  </si>
  <si>
    <t>rolling_06_seed3</t>
  </si>
  <si>
    <t>rolling_06_seed4</t>
  </si>
  <si>
    <t>rolling_06_seed5</t>
  </si>
  <si>
    <t>rolling_07_seed2</t>
  </si>
  <si>
    <t>rolling_07_seed3</t>
  </si>
  <si>
    <t>rolling_07_seed4</t>
  </si>
  <si>
    <t>rolling_07_seed5</t>
  </si>
  <si>
    <t>seasonal_summer_seed2</t>
  </si>
  <si>
    <t>seasonal_summer_seed3</t>
  </si>
  <si>
    <t>seasonal_summer_seed4</t>
  </si>
  <si>
    <t>seasonal_summer_seed5</t>
  </si>
  <si>
    <t>seasonal_autumn_seed2</t>
  </si>
  <si>
    <t>seasonal_autumn_seed3</t>
  </si>
  <si>
    <t>seasonal_autumn_seed4</t>
  </si>
  <si>
    <t>seasonal_autumn_seed5</t>
  </si>
  <si>
    <t>seasonal_winter_seed2</t>
  </si>
  <si>
    <t>seasonal_winter_seed3</t>
  </si>
  <si>
    <t>seasonal_winter_seed4</t>
  </si>
  <si>
    <t>seasonal_winter_seed5</t>
  </si>
  <si>
    <t>seasonal_spring_seed2</t>
  </si>
  <si>
    <t>seasonal_spring_seed3</t>
  </si>
  <si>
    <t>seasonal_spring_seed4</t>
  </si>
  <si>
    <t>seasonal_spring_seed5</t>
  </si>
  <si>
    <t>seasonal_end_of_year_seed2</t>
  </si>
  <si>
    <t>seasonal_end_of_year_seed3</t>
  </si>
  <si>
    <t>seasonal_end_of_year_seed4</t>
  </si>
  <si>
    <t>seasonal_end_of_year_seed5</t>
  </si>
  <si>
    <t>seasonal_q1_seed2</t>
  </si>
  <si>
    <t>seasonal_q1_seed3</t>
  </si>
  <si>
    <t>seasonal_q1_seed4</t>
  </si>
  <si>
    <t>seasonal_q1_seed5</t>
  </si>
  <si>
    <t>seasonal_q2_seed2</t>
  </si>
  <si>
    <t>seasonal_q2_seed3</t>
  </si>
  <si>
    <t>seasonal_q2_seed4</t>
  </si>
  <si>
    <t>seasonal_q2_seed5</t>
  </si>
  <si>
    <t>mixed_recent_01_seed2</t>
  </si>
  <si>
    <t>mixed_recent_01_seed3</t>
  </si>
  <si>
    <t>mixed_recent_01_seed4</t>
  </si>
  <si>
    <t>mixed_recent_01_seed5</t>
  </si>
  <si>
    <t>mixed_recent_02_seed2</t>
  </si>
  <si>
    <t>mixed_recent_02_seed3</t>
  </si>
  <si>
    <t>mixed_recent_02_seed4</t>
  </si>
  <si>
    <t>mixed_recent_02_seed5</t>
  </si>
  <si>
    <t>mixed_early_01_seed2</t>
  </si>
  <si>
    <t>mixed_early_01_seed3</t>
  </si>
  <si>
    <t>mixed_early_01_seed4</t>
  </si>
  <si>
    <t>mixed_early_01_seed5</t>
  </si>
  <si>
    <t>mixed_early_02_seed2</t>
  </si>
  <si>
    <t>mixed_early_02_seed3</t>
  </si>
  <si>
    <t>mixed_early_02_seed4</t>
  </si>
  <si>
    <t>mixed_early_02_seed5</t>
  </si>
  <si>
    <t>mixed_transition_seed2</t>
  </si>
  <si>
    <t>mixed_transition_seed3</t>
  </si>
  <si>
    <t>mixed_transition_seed4</t>
  </si>
  <si>
    <t>mixed_transition_seed5</t>
  </si>
  <si>
    <t>mixed_full_year_seed2</t>
  </si>
  <si>
    <t>mixed_full_year_seed3</t>
  </si>
  <si>
    <t>mixed_full_year_seed4</t>
  </si>
  <si>
    <t>mixed_full_year_seed5</t>
  </si>
  <si>
    <t>Concat</t>
  </si>
  <si>
    <t>Text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</si>
</sst>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FD4D-00CD-4309-AC83-2939A5637A18}">
  <dimension ref="A1:P210"/>
  <sheetViews>
    <sheetView tabSelected="1" topLeftCell="A40" workbookViewId="0">
      <selection activeCell="C2" sqref="C2"/>
    </sheetView>
  </sheetViews>
  <sheetFormatPr defaultRowHeight="15" x14ac:dyDescent="0.25"/>
  <cols>
    <col min="1" max="1" width="7" bestFit="1" customWidth="1"/>
    <col min="2" max="2" width="20.7109375" bestFit="1" customWidth="1"/>
    <col min="3" max="3" width="27" bestFit="1" customWidth="1"/>
    <col min="4" max="4" width="13.42578125" bestFit="1" customWidth="1"/>
    <col min="5" max="5" width="121" bestFit="1" customWidth="1"/>
    <col min="6" max="6" width="121" customWidth="1"/>
    <col min="7" max="7" width="137.140625" bestFit="1" customWidth="1"/>
    <col min="15" max="15" width="137.140625" bestFit="1" customWidth="1"/>
    <col min="16" max="16" width="15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168</v>
      </c>
      <c r="G1" t="s">
        <v>167</v>
      </c>
    </row>
    <row r="2" spans="1:16" x14ac:dyDescent="0.25">
      <c r="A2">
        <v>202104</v>
      </c>
      <c r="B2" t="s">
        <v>23</v>
      </c>
      <c r="C2" t="s">
        <v>24</v>
      </c>
      <c r="D2" s="1">
        <v>386400000</v>
      </c>
      <c r="E2" t="s">
        <v>37</v>
      </c>
      <c r="F2" t="str">
        <f>_xlfn.TEXTBEFORE(E2,"_2021")</f>
        <v>ganancias_Modelo Final US 0.2 - Uso Meses Corridos V2</v>
      </c>
      <c r="G2" t="str">
        <f>_xlfn.CONCAT(F2,C2)</f>
        <v>ganancias_Modelo Final US 0.2 - Uso Meses Corridos V2final_training_april_seed1</v>
      </c>
    </row>
    <row r="3" spans="1:16" x14ac:dyDescent="0.25">
      <c r="A3">
        <v>202104</v>
      </c>
      <c r="B3" t="s">
        <v>5</v>
      </c>
      <c r="C3" t="s">
        <v>6</v>
      </c>
      <c r="D3" s="1">
        <v>383200000</v>
      </c>
      <c r="E3" t="s">
        <v>39</v>
      </c>
      <c r="F3" t="str">
        <f>_xlfn.TEXTBEFORE(E3,"_2021")</f>
        <v>ganancias_Modelo Final US 0.2 - Uso Meses Corridos V3 - Agrego a meses viejos seasonality</v>
      </c>
      <c r="G3" t="str">
        <f>_xlfn.CONCAT(F3,C3)</f>
        <v>ganancias_Modelo Final US 0.2 - Uso Meses Corridos V3 - Agrego a meses viejos seasonalityapril_seed1</v>
      </c>
      <c r="O3" t="str" cm="1">
        <f t="array" ref="O3:O176">_xlfn.UNIQUE(G2:G209)</f>
        <v>ganancias_Modelo Final US 0.2 - Uso Meses Corridos V2final_training_april_seed1</v>
      </c>
      <c r="P3" s="1">
        <f>SUMIFS(D:D,G:G,O3)</f>
        <v>386400000</v>
      </c>
    </row>
    <row r="4" spans="1:16" x14ac:dyDescent="0.25">
      <c r="A4">
        <v>202104</v>
      </c>
      <c r="B4" t="s">
        <v>23</v>
      </c>
      <c r="C4" t="s">
        <v>27</v>
      </c>
      <c r="D4" s="1">
        <v>382400000</v>
      </c>
      <c r="E4" t="s">
        <v>37</v>
      </c>
      <c r="F4" t="str">
        <f>_xlfn.TEXTBEFORE(E4,"_2021")</f>
        <v>ganancias_Modelo Final US 0.2 - Uso Meses Corridos V2</v>
      </c>
      <c r="G4" t="str">
        <f>_xlfn.CONCAT(F4,C4)</f>
        <v>ganancias_Modelo Final US 0.2 - Uso Meses Corridos V2final_training_april_seed3</v>
      </c>
      <c r="O4" t="str">
        <v>ganancias_Modelo Final US 0.2 - Uso Meses Corridos V3 - Agrego a meses viejos seasonalityapril_seed1</v>
      </c>
      <c r="P4" s="1">
        <f>SUMIFS(D:D,G:G,O4)</f>
        <v>383200000</v>
      </c>
    </row>
    <row r="5" spans="1:16" x14ac:dyDescent="0.25">
      <c r="A5">
        <v>202104</v>
      </c>
      <c r="B5" t="s">
        <v>12</v>
      </c>
      <c r="C5" t="s">
        <v>13</v>
      </c>
      <c r="D5" s="1">
        <v>382400000</v>
      </c>
      <c r="E5" t="s">
        <v>39</v>
      </c>
      <c r="F5" t="str">
        <f>_xlfn.TEXTBEFORE(E5,"_2021")</f>
        <v>ganancias_Modelo Final US 0.2 - Uso Meses Corridos V3 - Agrego a meses viejos seasonality</v>
      </c>
      <c r="G5" t="str">
        <f>_xlfn.CONCAT(F5,C5)</f>
        <v>ganancias_Modelo Final US 0.2 - Uso Meses Corridos V3 - Agrego a meses viejos seasonalityensamble_global</v>
      </c>
      <c r="O5" t="str">
        <v>ganancias_Modelo Final US 0.2 - Uso Meses Corridos V2final_training_april_seed3</v>
      </c>
      <c r="P5" s="1">
        <f>SUMIFS(D:D,G:G,O5)</f>
        <v>382400000</v>
      </c>
    </row>
    <row r="6" spans="1:16" x14ac:dyDescent="0.25">
      <c r="A6">
        <v>202104</v>
      </c>
      <c r="B6" t="s">
        <v>14</v>
      </c>
      <c r="C6" t="s">
        <v>15</v>
      </c>
      <c r="D6" s="1">
        <v>382400000</v>
      </c>
      <c r="E6" t="s">
        <v>39</v>
      </c>
      <c r="F6" t="str">
        <f>_xlfn.TEXTBEFORE(E6,"_2021")</f>
        <v>ganancias_Modelo Final US 0.2 - Uso Meses Corridos V3 - Agrego a meses viejos seasonality</v>
      </c>
      <c r="G6" t="str">
        <f>_xlfn.CONCAT(F6,C6)</f>
        <v>ganancias_Modelo Final US 0.2 - Uso Meses Corridos V3 - Agrego a meses viejos seasonalityensamble_grupos</v>
      </c>
      <c r="O6" t="str">
        <v>ganancias_Modelo Final US 0.2 - Uso Meses Corridos V3 - Agrego a meses viejos seasonalityensamble_global</v>
      </c>
      <c r="P6" s="1">
        <f>SUMIFS(D:D,G:G,O6)</f>
        <v>728800000</v>
      </c>
    </row>
    <row r="7" spans="1:16" x14ac:dyDescent="0.25">
      <c r="A7">
        <v>202104</v>
      </c>
      <c r="B7" t="s">
        <v>5</v>
      </c>
      <c r="C7" t="s">
        <v>9</v>
      </c>
      <c r="D7" s="1">
        <v>381600000</v>
      </c>
      <c r="E7" t="s">
        <v>39</v>
      </c>
      <c r="F7" t="str">
        <f>_xlfn.TEXTBEFORE(E7,"_2021")</f>
        <v>ganancias_Modelo Final US 0.2 - Uso Meses Corridos V3 - Agrego a meses viejos seasonality</v>
      </c>
      <c r="G7" t="str">
        <f>_xlfn.CONCAT(F7,C7)</f>
        <v>ganancias_Modelo Final US 0.2 - Uso Meses Corridos V3 - Agrego a meses viejos seasonalityapril_seed3</v>
      </c>
      <c r="O7" t="str">
        <v>ganancias_Modelo Final US 0.2 - Uso Meses Corridos V3 - Agrego a meses viejos seasonalityensamble_grupos</v>
      </c>
      <c r="P7" s="1">
        <f>SUMIFS(D:D,G:G,O7)</f>
        <v>728800000</v>
      </c>
    </row>
    <row r="8" spans="1:16" x14ac:dyDescent="0.25">
      <c r="A8">
        <v>202104</v>
      </c>
      <c r="B8" t="s">
        <v>12</v>
      </c>
      <c r="C8" t="s">
        <v>13</v>
      </c>
      <c r="D8" s="1">
        <v>380800000</v>
      </c>
      <c r="E8" t="s">
        <v>37</v>
      </c>
      <c r="F8" t="str">
        <f>_xlfn.TEXTBEFORE(E8,"_2021")</f>
        <v>ganancias_Modelo Final US 0.2 - Uso Meses Corridos V2</v>
      </c>
      <c r="G8" t="str">
        <f>_xlfn.CONCAT(F8,C8)</f>
        <v>ganancias_Modelo Final US 0.2 - Uso Meses Corridos V2ensamble_global</v>
      </c>
      <c r="O8" t="str">
        <v>ganancias_Modelo Final US 0.2 - Uso Meses Corridos V3 - Agrego a meses viejos seasonalityapril_seed3</v>
      </c>
      <c r="P8" s="1">
        <f>SUMIFS(D:D,G:G,O8)</f>
        <v>381600000</v>
      </c>
    </row>
    <row r="9" spans="1:16" x14ac:dyDescent="0.25">
      <c r="A9">
        <v>202104</v>
      </c>
      <c r="B9" t="s">
        <v>14</v>
      </c>
      <c r="C9" t="s">
        <v>15</v>
      </c>
      <c r="D9" s="1">
        <v>380800000</v>
      </c>
      <c r="E9" t="s">
        <v>37</v>
      </c>
      <c r="F9" t="str">
        <f>_xlfn.TEXTBEFORE(E9,"_2021")</f>
        <v>ganancias_Modelo Final US 0.2 - Uso Meses Corridos V2</v>
      </c>
      <c r="G9" t="str">
        <f>_xlfn.CONCAT(F9,C9)</f>
        <v>ganancias_Modelo Final US 0.2 - Uso Meses Corridos V2ensamble_grupos</v>
      </c>
      <c r="O9" t="str">
        <v>ganancias_Modelo Final US 0.2 - Uso Meses Corridos V2ensamble_global</v>
      </c>
      <c r="P9" s="1">
        <f>SUMIFS(D:D,G:G,O9)</f>
        <v>743200000</v>
      </c>
    </row>
    <row r="10" spans="1:16" x14ac:dyDescent="0.25">
      <c r="A10">
        <v>202104</v>
      </c>
      <c r="B10" t="s">
        <v>5</v>
      </c>
      <c r="C10" t="s">
        <v>10</v>
      </c>
      <c r="D10" s="1">
        <v>380800000</v>
      </c>
      <c r="E10" t="s">
        <v>39</v>
      </c>
      <c r="F10" t="str">
        <f>_xlfn.TEXTBEFORE(E10,"_2021")</f>
        <v>ganancias_Modelo Final US 0.2 - Uso Meses Corridos V3 - Agrego a meses viejos seasonality</v>
      </c>
      <c r="G10" t="str">
        <f>_xlfn.CONCAT(F10,C10)</f>
        <v>ganancias_Modelo Final US 0.2 - Uso Meses Corridos V3 - Agrego a meses viejos seasonalityapril_seed4</v>
      </c>
      <c r="O10" t="str">
        <v>ganancias_Modelo Final US 0.2 - Uso Meses Corridos V2ensamble_grupos</v>
      </c>
      <c r="P10" s="1">
        <f>SUMIFS(D:D,G:G,O10)</f>
        <v>743200000</v>
      </c>
    </row>
    <row r="11" spans="1:16" x14ac:dyDescent="0.25">
      <c r="A11">
        <v>202104</v>
      </c>
      <c r="B11" t="s">
        <v>5</v>
      </c>
      <c r="C11" t="s">
        <v>8</v>
      </c>
      <c r="D11" s="1">
        <v>380000000</v>
      </c>
      <c r="E11" t="s">
        <v>7</v>
      </c>
      <c r="F11" t="str">
        <f>_xlfn.TEXTBEFORE(E11,"_2021")</f>
        <v>ganancias_Modelo Final US 0.2 - Uso Meses Corridos V2 - Pruebo Undersampling solo en Meses viejos V2</v>
      </c>
      <c r="G11" t="str">
        <f>_xlfn.CONCAT(F11,C11)</f>
        <v>ganancias_Modelo Final US 0.2 - Uso Meses Corridos V2 - Pruebo Undersampling solo en Meses viejos V2april_seed2</v>
      </c>
      <c r="O11" t="str">
        <v>ganancias_Modelo Final US 0.2 - Uso Meses Corridos V3 - Agrego a meses viejos seasonalityapril_seed4</v>
      </c>
      <c r="P11" s="1">
        <f>SUMIFS(D:D,G:G,O11)</f>
        <v>380800000</v>
      </c>
    </row>
    <row r="12" spans="1:16" x14ac:dyDescent="0.25">
      <c r="A12">
        <v>202104</v>
      </c>
      <c r="B12" t="s">
        <v>23</v>
      </c>
      <c r="C12" t="s">
        <v>27</v>
      </c>
      <c r="D12" s="1">
        <v>380000000</v>
      </c>
      <c r="E12" t="s">
        <v>25</v>
      </c>
      <c r="F12" t="str">
        <f>_xlfn.TEXTBEFORE(E12,"_2021")</f>
        <v>ganancias_Modelo Final US 0.2 - Uso Meses Corridos V2 - Saco los CTRL Adicionales</v>
      </c>
      <c r="G12" t="str">
        <f>_xlfn.CONCAT(F12,C12)</f>
        <v>ganancias_Modelo Final US 0.2 - Uso Meses Corridos V2 - Saco los CTRL Adicionalesfinal_training_april_seed3</v>
      </c>
      <c r="O12" t="str">
        <v>ganancias_Modelo Final US 0.2 - Uso Meses Corridos V2 - Pruebo Undersampling solo en Meses viejos V2april_seed2</v>
      </c>
      <c r="P12" s="1">
        <f>SUMIFS(D:D,G:G,O12)</f>
        <v>380000000</v>
      </c>
    </row>
    <row r="13" spans="1:16" x14ac:dyDescent="0.25">
      <c r="A13">
        <v>202104</v>
      </c>
      <c r="B13" t="s">
        <v>23</v>
      </c>
      <c r="C13" t="s">
        <v>29</v>
      </c>
      <c r="D13" s="1">
        <v>380000000</v>
      </c>
      <c r="E13" t="s">
        <v>25</v>
      </c>
      <c r="F13" t="str">
        <f>_xlfn.TEXTBEFORE(E13,"_2021")</f>
        <v>ganancias_Modelo Final US 0.2 - Uso Meses Corridos V2 - Saco los CTRL Adicionales</v>
      </c>
      <c r="G13" t="str">
        <f>_xlfn.CONCAT(F13,C13)</f>
        <v>ganancias_Modelo Final US 0.2 - Uso Meses Corridos V2 - Saco los CTRL Adicionalesfinal_training_april_seed5</v>
      </c>
      <c r="O13" t="str">
        <v>ganancias_Modelo Final US 0.2 - Uso Meses Corridos V2 - Saco los CTRL Adicionalesfinal_training_april_seed3</v>
      </c>
      <c r="P13" s="1">
        <f>SUMIFS(D:D,G:G,O13)</f>
        <v>380000000</v>
      </c>
    </row>
    <row r="14" spans="1:16" x14ac:dyDescent="0.25">
      <c r="A14">
        <v>202104</v>
      </c>
      <c r="B14" t="s">
        <v>12</v>
      </c>
      <c r="C14" t="s">
        <v>13</v>
      </c>
      <c r="D14" s="1">
        <v>380000000</v>
      </c>
      <c r="E14" t="s">
        <v>25</v>
      </c>
      <c r="F14" t="str">
        <f>_xlfn.TEXTBEFORE(E14,"_2021")</f>
        <v>ganancias_Modelo Final US 0.2 - Uso Meses Corridos V2 - Saco los CTRL Adicionales</v>
      </c>
      <c r="G14" t="str">
        <f>_xlfn.CONCAT(F14,C14)</f>
        <v>ganancias_Modelo Final US 0.2 - Uso Meses Corridos V2 - Saco los CTRL Adicionalesensamble_global</v>
      </c>
      <c r="O14" t="str">
        <v>ganancias_Modelo Final US 0.2 - Uso Meses Corridos V2 - Saco los CTRL Adicionalesfinal_training_april_seed5</v>
      </c>
      <c r="P14" s="1">
        <f>SUMIFS(D:D,G:G,O14)</f>
        <v>380000000</v>
      </c>
    </row>
    <row r="15" spans="1:16" x14ac:dyDescent="0.25">
      <c r="A15">
        <v>202104</v>
      </c>
      <c r="B15" t="s">
        <v>14</v>
      </c>
      <c r="C15" t="s">
        <v>15</v>
      </c>
      <c r="D15" s="1">
        <v>380000000</v>
      </c>
      <c r="E15" t="s">
        <v>25</v>
      </c>
      <c r="F15" t="str">
        <f>_xlfn.TEXTBEFORE(E15,"_2021")</f>
        <v>ganancias_Modelo Final US 0.2 - Uso Meses Corridos V2 - Saco los CTRL Adicionales</v>
      </c>
      <c r="G15" t="str">
        <f>_xlfn.CONCAT(F15,C15)</f>
        <v>ganancias_Modelo Final US 0.2 - Uso Meses Corridos V2 - Saco los CTRL Adicionalesensamble_grupos</v>
      </c>
      <c r="O15" t="str">
        <v>ganancias_Modelo Final US 0.2 - Uso Meses Corridos V2 - Saco los CTRL Adicionalesensamble_global</v>
      </c>
      <c r="P15" s="1">
        <f>SUMIFS(D:D,G:G,O15)</f>
        <v>743200000</v>
      </c>
    </row>
    <row r="16" spans="1:16" x14ac:dyDescent="0.25">
      <c r="A16">
        <v>202104</v>
      </c>
      <c r="B16" t="s">
        <v>23</v>
      </c>
      <c r="C16" t="s">
        <v>26</v>
      </c>
      <c r="D16" s="1">
        <v>379200000</v>
      </c>
      <c r="E16" t="s">
        <v>25</v>
      </c>
      <c r="F16" t="str">
        <f>_xlfn.TEXTBEFORE(E16,"_2021")</f>
        <v>ganancias_Modelo Final US 0.2 - Uso Meses Corridos V2 - Saco los CTRL Adicionales</v>
      </c>
      <c r="G16" t="str">
        <f>_xlfn.CONCAT(F16,C16)</f>
        <v>ganancias_Modelo Final US 0.2 - Uso Meses Corridos V2 - Saco los CTRL Adicionalesfinal_training_april_seed2</v>
      </c>
      <c r="O16" t="str">
        <v>ganancias_Modelo Final US 0.2 - Uso Meses Corridos V2 - Saco los CTRL Adicionalesensamble_grupos</v>
      </c>
      <c r="P16" s="1">
        <f>SUMIFS(D:D,G:G,O16)</f>
        <v>743200000</v>
      </c>
    </row>
    <row r="17" spans="1:16" x14ac:dyDescent="0.25">
      <c r="A17">
        <v>202104</v>
      </c>
      <c r="B17" t="s">
        <v>12</v>
      </c>
      <c r="C17" t="s">
        <v>13</v>
      </c>
      <c r="D17" s="1">
        <v>379200000</v>
      </c>
      <c r="E17" t="s">
        <v>43</v>
      </c>
      <c r="F17" t="str">
        <f>_xlfn.TEXTBEFORE(E17,"_2021")</f>
        <v>ganancias_Modelo Final US 0.2 - Uso Meses Corridos y seasonality - Cambio IPC por Percentiles Rank V2</v>
      </c>
      <c r="G17" t="str">
        <f>_xlfn.CONCAT(F17,C17)</f>
        <v>ganancias_Modelo Final US 0.2 - Uso Meses Corridos y seasonality - Cambio IPC por Percentiles Rank V2ensamble_global</v>
      </c>
      <c r="O17" t="str">
        <v>ganancias_Modelo Final US 0.2 - Uso Meses Corridos V2 - Saco los CTRL Adicionalesfinal_training_april_seed2</v>
      </c>
      <c r="P17" s="1">
        <f>SUMIFS(D:D,G:G,O17)</f>
        <v>379200000</v>
      </c>
    </row>
    <row r="18" spans="1:16" x14ac:dyDescent="0.25">
      <c r="A18">
        <v>202104</v>
      </c>
      <c r="B18" t="s">
        <v>14</v>
      </c>
      <c r="C18" t="s">
        <v>15</v>
      </c>
      <c r="D18" s="1">
        <v>379200000</v>
      </c>
      <c r="E18" t="s">
        <v>43</v>
      </c>
      <c r="F18" t="str">
        <f>_xlfn.TEXTBEFORE(E18,"_2021")</f>
        <v>ganancias_Modelo Final US 0.2 - Uso Meses Corridos y seasonality - Cambio IPC por Percentiles Rank V2</v>
      </c>
      <c r="G18" t="str">
        <f>_xlfn.CONCAT(F18,C18)</f>
        <v>ganancias_Modelo Final US 0.2 - Uso Meses Corridos y seasonality - Cambio IPC por Percentiles Rank V2ensamble_grupos</v>
      </c>
      <c r="O18" t="str">
        <v>ganancias_Modelo Final US 0.2 - Uso Meses Corridos y seasonality - Cambio IPC por Percentiles Rank V2ensamble_global</v>
      </c>
      <c r="P18" s="1">
        <f>SUMIFS(D:D,G:G,O18)</f>
        <v>748800000</v>
      </c>
    </row>
    <row r="19" spans="1:16" x14ac:dyDescent="0.25">
      <c r="A19">
        <v>202104</v>
      </c>
      <c r="B19" t="s">
        <v>5</v>
      </c>
      <c r="C19" t="s">
        <v>8</v>
      </c>
      <c r="D19" s="1">
        <v>378400000</v>
      </c>
      <c r="E19" t="s">
        <v>39</v>
      </c>
      <c r="F19" t="str">
        <f>_xlfn.TEXTBEFORE(E19,"_2021")</f>
        <v>ganancias_Modelo Final US 0.2 - Uso Meses Corridos V3 - Agrego a meses viejos seasonality</v>
      </c>
      <c r="G19" t="str">
        <f>_xlfn.CONCAT(F19,C19)</f>
        <v>ganancias_Modelo Final US 0.2 - Uso Meses Corridos V3 - Agrego a meses viejos seasonalityapril_seed2</v>
      </c>
      <c r="O19" t="str">
        <v>ganancias_Modelo Final US 0.2 - Uso Meses Corridos y seasonality - Cambio IPC por Percentiles Rank V2ensamble_grupos</v>
      </c>
      <c r="P19" s="1">
        <f>SUMIFS(D:D,G:G,O19)</f>
        <v>748800000</v>
      </c>
    </row>
    <row r="20" spans="1:16" x14ac:dyDescent="0.25">
      <c r="A20">
        <v>202104</v>
      </c>
      <c r="B20" t="s">
        <v>5</v>
      </c>
      <c r="C20" t="s">
        <v>6</v>
      </c>
      <c r="D20" s="1">
        <v>377600000</v>
      </c>
      <c r="E20" t="s">
        <v>7</v>
      </c>
      <c r="F20" t="str">
        <f>_xlfn.TEXTBEFORE(E20,"_2021")</f>
        <v>ganancias_Modelo Final US 0.2 - Uso Meses Corridos V2 - Pruebo Undersampling solo en Meses viejos V2</v>
      </c>
      <c r="G20" t="str">
        <f>_xlfn.CONCAT(F20,C20)</f>
        <v>ganancias_Modelo Final US 0.2 - Uso Meses Corridos V2 - Pruebo Undersampling solo en Meses viejos V2april_seed1</v>
      </c>
      <c r="O20" t="str">
        <v>ganancias_Modelo Final US 0.2 - Uso Meses Corridos V3 - Agrego a meses viejos seasonalityapril_seed2</v>
      </c>
      <c r="P20" s="1">
        <f>SUMIFS(D:D,G:G,O20)</f>
        <v>378400000</v>
      </c>
    </row>
    <row r="21" spans="1:16" x14ac:dyDescent="0.25">
      <c r="A21">
        <v>202104</v>
      </c>
      <c r="B21" t="s">
        <v>12</v>
      </c>
      <c r="C21" t="s">
        <v>13</v>
      </c>
      <c r="D21" s="1">
        <v>377600000</v>
      </c>
      <c r="E21" t="s">
        <v>7</v>
      </c>
      <c r="F21" t="str">
        <f>_xlfn.TEXTBEFORE(E21,"_2021")</f>
        <v>ganancias_Modelo Final US 0.2 - Uso Meses Corridos V2 - Pruebo Undersampling solo en Meses viejos V2</v>
      </c>
      <c r="G21" t="str">
        <f>_xlfn.CONCAT(F21,C21)</f>
        <v>ganancias_Modelo Final US 0.2 - Uso Meses Corridos V2 - Pruebo Undersampling solo en Meses viejos V2ensamble_global</v>
      </c>
      <c r="O21" t="str">
        <v>ganancias_Modelo Final US 0.2 - Uso Meses Corridos V2 - Pruebo Undersampling solo en Meses viejos V2april_seed1</v>
      </c>
      <c r="P21" s="1">
        <f>SUMIFS(D:D,G:G,O21)</f>
        <v>377600000</v>
      </c>
    </row>
    <row r="22" spans="1:16" x14ac:dyDescent="0.25">
      <c r="A22">
        <v>202104</v>
      </c>
      <c r="B22" t="s">
        <v>14</v>
      </c>
      <c r="C22" t="s">
        <v>15</v>
      </c>
      <c r="D22" s="1">
        <v>377600000</v>
      </c>
      <c r="E22" t="s">
        <v>7</v>
      </c>
      <c r="F22" t="str">
        <f>_xlfn.TEXTBEFORE(E22,"_2021")</f>
        <v>ganancias_Modelo Final US 0.2 - Uso Meses Corridos V2 - Pruebo Undersampling solo en Meses viejos V2</v>
      </c>
      <c r="G22" t="str">
        <f>_xlfn.CONCAT(F22,C22)</f>
        <v>ganancias_Modelo Final US 0.2 - Uso Meses Corridos V2 - Pruebo Undersampling solo en Meses viejos V2ensamble_grupos</v>
      </c>
      <c r="O22" t="str">
        <v>ganancias_Modelo Final US 0.2 - Uso Meses Corridos V2 - Pruebo Undersampling solo en Meses viejos V2ensamble_global</v>
      </c>
      <c r="P22" s="1">
        <f>SUMIFS(D:D,G:G,O22)</f>
        <v>731200000</v>
      </c>
    </row>
    <row r="23" spans="1:16" x14ac:dyDescent="0.25">
      <c r="A23">
        <v>202104</v>
      </c>
      <c r="B23" t="s">
        <v>5</v>
      </c>
      <c r="C23" t="s">
        <v>10</v>
      </c>
      <c r="D23" s="1">
        <v>376800000</v>
      </c>
      <c r="E23" t="s">
        <v>7</v>
      </c>
      <c r="F23" t="str">
        <f>_xlfn.TEXTBEFORE(E23,"_2021")</f>
        <v>ganancias_Modelo Final US 0.2 - Uso Meses Corridos V2 - Pruebo Undersampling solo en Meses viejos V2</v>
      </c>
      <c r="G23" t="str">
        <f>_xlfn.CONCAT(F23,C23)</f>
        <v>ganancias_Modelo Final US 0.2 - Uso Meses Corridos V2 - Pruebo Undersampling solo en Meses viejos V2april_seed4</v>
      </c>
      <c r="O23" t="str">
        <v>ganancias_Modelo Final US 0.2 - Uso Meses Corridos V2 - Pruebo Undersampling solo en Meses viejos V2ensamble_grupos</v>
      </c>
      <c r="P23" s="1">
        <f>SUMIFS(D:D,G:G,O23)</f>
        <v>731200000</v>
      </c>
    </row>
    <row r="24" spans="1:16" x14ac:dyDescent="0.25">
      <c r="A24">
        <v>202104</v>
      </c>
      <c r="B24" t="s">
        <v>23</v>
      </c>
      <c r="C24" t="s">
        <v>28</v>
      </c>
      <c r="D24" s="1">
        <v>376800000</v>
      </c>
      <c r="E24" t="s">
        <v>25</v>
      </c>
      <c r="F24" t="str">
        <f>_xlfn.TEXTBEFORE(E24,"_2021")</f>
        <v>ganancias_Modelo Final US 0.2 - Uso Meses Corridos V2 - Saco los CTRL Adicionales</v>
      </c>
      <c r="G24" t="str">
        <f>_xlfn.CONCAT(F24,C24)</f>
        <v>ganancias_Modelo Final US 0.2 - Uso Meses Corridos V2 - Saco los CTRL Adicionalesfinal_training_april_seed4</v>
      </c>
      <c r="O24" t="str">
        <v>ganancias_Modelo Final US 0.2 - Uso Meses Corridos V2 - Pruebo Undersampling solo en Meses viejos V2april_seed4</v>
      </c>
      <c r="P24" s="1">
        <f>SUMIFS(D:D,G:G,O24)</f>
        <v>376800000</v>
      </c>
    </row>
    <row r="25" spans="1:16" x14ac:dyDescent="0.25">
      <c r="A25">
        <v>202104</v>
      </c>
      <c r="B25" t="s">
        <v>23</v>
      </c>
      <c r="C25" t="s">
        <v>29</v>
      </c>
      <c r="D25" s="1">
        <v>376000000</v>
      </c>
      <c r="E25" t="s">
        <v>37</v>
      </c>
      <c r="F25" t="str">
        <f>_xlfn.TEXTBEFORE(E25,"_2021")</f>
        <v>ganancias_Modelo Final US 0.2 - Uso Meses Corridos V2</v>
      </c>
      <c r="G25" t="str">
        <f>_xlfn.CONCAT(F25,C25)</f>
        <v>ganancias_Modelo Final US 0.2 - Uso Meses Corridos V2final_training_april_seed5</v>
      </c>
      <c r="O25" t="str">
        <v>ganancias_Modelo Final US 0.2 - Uso Meses Corridos V2 - Saco los CTRL Adicionalesfinal_training_april_seed4</v>
      </c>
      <c r="P25" s="1">
        <f>SUMIFS(D:D,G:G,O25)</f>
        <v>376800000</v>
      </c>
    </row>
    <row r="26" spans="1:16" x14ac:dyDescent="0.25">
      <c r="A26">
        <v>202104</v>
      </c>
      <c r="B26" t="s">
        <v>5</v>
      </c>
      <c r="C26" t="s">
        <v>6</v>
      </c>
      <c r="D26" s="1">
        <v>376000000</v>
      </c>
      <c r="E26" t="s">
        <v>41</v>
      </c>
      <c r="F26" t="str">
        <f>_xlfn.TEXTBEFORE(E26,"_2021")</f>
        <v>ganancias_Modelo Final US 0.2 - Uso Meses Corridos y seasonality - Cambio IPC por Percentiles Rank (200 Percentiles) V2</v>
      </c>
      <c r="G26" t="str">
        <f>_xlfn.CONCAT(F26,C26)</f>
        <v>ganancias_Modelo Final US 0.2 - Uso Meses Corridos y seasonality - Cambio IPC por Percentiles Rank (200 Percentiles) V2april_seed1</v>
      </c>
      <c r="O26" t="str">
        <v>ganancias_Modelo Final US 0.2 - Uso Meses Corridos V2final_training_april_seed5</v>
      </c>
      <c r="P26" s="1">
        <f>SUMIFS(D:D,G:G,O26)</f>
        <v>376000000</v>
      </c>
    </row>
    <row r="27" spans="1:16" x14ac:dyDescent="0.25">
      <c r="A27">
        <v>202104</v>
      </c>
      <c r="B27" t="s">
        <v>74</v>
      </c>
      <c r="C27" t="s">
        <v>75</v>
      </c>
      <c r="D27" s="1">
        <v>376000000</v>
      </c>
      <c r="E27" t="s">
        <v>47</v>
      </c>
      <c r="F27" t="str">
        <f>_xlfn.TEXTBEFORE(E27,"_2021")</f>
        <v>ganancias_modelos</v>
      </c>
      <c r="G27" t="str">
        <f>_xlfn.CONCAT(F27,C27)</f>
        <v>ganancias_modelosmixed_recent_01_seed1</v>
      </c>
      <c r="O27" t="str">
        <v>ganancias_Modelo Final US 0.2 - Uso Meses Corridos y seasonality - Cambio IPC por Percentiles Rank (200 Percentiles) V2april_seed1</v>
      </c>
      <c r="P27" s="1">
        <f>SUMIFS(D:D,G:G,O27)</f>
        <v>376000000</v>
      </c>
    </row>
    <row r="28" spans="1:16" x14ac:dyDescent="0.25">
      <c r="A28">
        <v>202104</v>
      </c>
      <c r="B28" t="s">
        <v>23</v>
      </c>
      <c r="C28" t="s">
        <v>26</v>
      </c>
      <c r="D28" s="1">
        <v>375200000</v>
      </c>
      <c r="E28" t="s">
        <v>37</v>
      </c>
      <c r="F28" t="str">
        <f>_xlfn.TEXTBEFORE(E28,"_2021")</f>
        <v>ganancias_Modelo Final US 0.2 - Uso Meses Corridos V2</v>
      </c>
      <c r="G28" t="str">
        <f>_xlfn.CONCAT(F28,C28)</f>
        <v>ganancias_Modelo Final US 0.2 - Uso Meses Corridos V2final_training_april_seed2</v>
      </c>
      <c r="O28" t="str">
        <v>ganancias_modelosmixed_recent_01_seed1</v>
      </c>
      <c r="P28" s="1">
        <f>SUMIFS(D:D,G:G,O28)</f>
        <v>720800000</v>
      </c>
    </row>
    <row r="29" spans="1:16" x14ac:dyDescent="0.25">
      <c r="A29">
        <v>202104</v>
      </c>
      <c r="B29" t="s">
        <v>23</v>
      </c>
      <c r="C29" t="s">
        <v>28</v>
      </c>
      <c r="D29" s="1">
        <v>375200000</v>
      </c>
      <c r="E29" t="s">
        <v>37</v>
      </c>
      <c r="F29" t="str">
        <f>_xlfn.TEXTBEFORE(E29,"_2021")</f>
        <v>ganancias_Modelo Final US 0.2 - Uso Meses Corridos V2</v>
      </c>
      <c r="G29" t="str">
        <f>_xlfn.CONCAT(F29,C29)</f>
        <v>ganancias_Modelo Final US 0.2 - Uso Meses Corridos V2final_training_april_seed4</v>
      </c>
      <c r="O29" t="str">
        <v>ganancias_Modelo Final US 0.2 - Uso Meses Corridos V2final_training_april_seed2</v>
      </c>
      <c r="P29" s="1">
        <f>SUMIFS(D:D,G:G,O29)</f>
        <v>375200000</v>
      </c>
    </row>
    <row r="30" spans="1:16" x14ac:dyDescent="0.25">
      <c r="A30">
        <v>202104</v>
      </c>
      <c r="B30" t="s">
        <v>5</v>
      </c>
      <c r="C30" t="s">
        <v>8</v>
      </c>
      <c r="D30" s="1">
        <v>375200000</v>
      </c>
      <c r="E30" t="s">
        <v>41</v>
      </c>
      <c r="F30" t="str">
        <f>_xlfn.TEXTBEFORE(E30,"_2021")</f>
        <v>ganancias_Modelo Final US 0.2 - Uso Meses Corridos y seasonality - Cambio IPC por Percentiles Rank (200 Percentiles) V2</v>
      </c>
      <c r="G30" t="str">
        <f>_xlfn.CONCAT(F30,C30)</f>
        <v>ganancias_Modelo Final US 0.2 - Uso Meses Corridos y seasonality - Cambio IPC por Percentiles Rank (200 Percentiles) V2april_seed2</v>
      </c>
      <c r="O30" t="str">
        <v>ganancias_Modelo Final US 0.2 - Uso Meses Corridos V2final_training_april_seed4</v>
      </c>
      <c r="P30" s="1">
        <f>SUMIFS(D:D,G:G,O30)</f>
        <v>375200000</v>
      </c>
    </row>
    <row r="31" spans="1:16" x14ac:dyDescent="0.25">
      <c r="A31">
        <v>202104</v>
      </c>
      <c r="B31" t="s">
        <v>23</v>
      </c>
      <c r="C31" t="s">
        <v>24</v>
      </c>
      <c r="D31" s="1">
        <v>374400000</v>
      </c>
      <c r="E31" t="s">
        <v>25</v>
      </c>
      <c r="F31" t="str">
        <f>_xlfn.TEXTBEFORE(E31,"_2021")</f>
        <v>ganancias_Modelo Final US 0.2 - Uso Meses Corridos V2 - Saco los CTRL Adicionales</v>
      </c>
      <c r="G31" t="str">
        <f>_xlfn.CONCAT(F31,C31)</f>
        <v>ganancias_Modelo Final US 0.2 - Uso Meses Corridos V2 - Saco los CTRL Adicionalesfinal_training_april_seed1</v>
      </c>
      <c r="O31" t="str">
        <v>ganancias_Modelo Final US 0.2 - Uso Meses Corridos y seasonality - Cambio IPC por Percentiles Rank (200 Percentiles) V2april_seed2</v>
      </c>
      <c r="P31" s="1">
        <f>SUMIFS(D:D,G:G,O31)</f>
        <v>375200000</v>
      </c>
    </row>
    <row r="32" spans="1:16" x14ac:dyDescent="0.25">
      <c r="A32">
        <v>202104</v>
      </c>
      <c r="B32" t="s">
        <v>5</v>
      </c>
      <c r="C32" t="s">
        <v>9</v>
      </c>
      <c r="D32" s="1">
        <v>374400000</v>
      </c>
      <c r="E32" t="s">
        <v>41</v>
      </c>
      <c r="F32" t="str">
        <f>_xlfn.TEXTBEFORE(E32,"_2021")</f>
        <v>ganancias_Modelo Final US 0.2 - Uso Meses Corridos y seasonality - Cambio IPC por Percentiles Rank (200 Percentiles) V2</v>
      </c>
      <c r="G32" t="str">
        <f>_xlfn.CONCAT(F32,C32)</f>
        <v>ganancias_Modelo Final US 0.2 - Uso Meses Corridos y seasonality - Cambio IPC por Percentiles Rank (200 Percentiles) V2april_seed3</v>
      </c>
      <c r="O32" t="str">
        <v>ganancias_Modelo Final US 0.2 - Uso Meses Corridos V2 - Saco los CTRL Adicionalesfinal_training_april_seed1</v>
      </c>
      <c r="P32" s="1">
        <f>SUMIFS(D:D,G:G,O32)</f>
        <v>374400000</v>
      </c>
    </row>
    <row r="33" spans="1:16" x14ac:dyDescent="0.25">
      <c r="A33">
        <v>202104</v>
      </c>
      <c r="B33" t="s">
        <v>5</v>
      </c>
      <c r="C33" t="s">
        <v>10</v>
      </c>
      <c r="D33" s="1">
        <v>374400000</v>
      </c>
      <c r="E33" t="s">
        <v>41</v>
      </c>
      <c r="F33" t="str">
        <f>_xlfn.TEXTBEFORE(E33,"_2021")</f>
        <v>ganancias_Modelo Final US 0.2 - Uso Meses Corridos y seasonality - Cambio IPC por Percentiles Rank (200 Percentiles) V2</v>
      </c>
      <c r="G33" t="str">
        <f>_xlfn.CONCAT(F33,C33)</f>
        <v>ganancias_Modelo Final US 0.2 - Uso Meses Corridos y seasonality - Cambio IPC por Percentiles Rank (200 Percentiles) V2april_seed4</v>
      </c>
      <c r="O33" t="str">
        <v>ganancias_Modelo Final US 0.2 - Uso Meses Corridos y seasonality - Cambio IPC por Percentiles Rank (200 Percentiles) V2april_seed3</v>
      </c>
      <c r="P33" s="1">
        <f>SUMIFS(D:D,G:G,O33)</f>
        <v>374400000</v>
      </c>
    </row>
    <row r="34" spans="1:16" x14ac:dyDescent="0.25">
      <c r="A34">
        <v>202104</v>
      </c>
      <c r="B34" t="s">
        <v>12</v>
      </c>
      <c r="C34" t="s">
        <v>13</v>
      </c>
      <c r="D34" s="1">
        <v>373600000</v>
      </c>
      <c r="E34" t="s">
        <v>41</v>
      </c>
      <c r="F34" t="str">
        <f>_xlfn.TEXTBEFORE(E34,"_2021")</f>
        <v>ganancias_Modelo Final US 0.2 - Uso Meses Corridos y seasonality - Cambio IPC por Percentiles Rank (200 Percentiles) V2</v>
      </c>
      <c r="G34" t="str">
        <f>_xlfn.CONCAT(F34,C34)</f>
        <v>ganancias_Modelo Final US 0.2 - Uso Meses Corridos y seasonality - Cambio IPC por Percentiles Rank (200 Percentiles) V2ensamble_global</v>
      </c>
      <c r="O34" t="str">
        <v>ganancias_Modelo Final US 0.2 - Uso Meses Corridos y seasonality - Cambio IPC por Percentiles Rank (200 Percentiles) V2april_seed4</v>
      </c>
      <c r="P34" s="1">
        <f>SUMIFS(D:D,G:G,O34)</f>
        <v>374400000</v>
      </c>
    </row>
    <row r="35" spans="1:16" x14ac:dyDescent="0.25">
      <c r="A35">
        <v>202104</v>
      </c>
      <c r="B35" t="s">
        <v>14</v>
      </c>
      <c r="C35" t="s">
        <v>15</v>
      </c>
      <c r="D35" s="1">
        <v>373600000</v>
      </c>
      <c r="E35" t="s">
        <v>41</v>
      </c>
      <c r="F35" t="str">
        <f>_xlfn.TEXTBEFORE(E35,"_2021")</f>
        <v>ganancias_Modelo Final US 0.2 - Uso Meses Corridos y seasonality - Cambio IPC por Percentiles Rank (200 Percentiles) V2</v>
      </c>
      <c r="G35" t="str">
        <f>_xlfn.CONCAT(F35,C35)</f>
        <v>ganancias_Modelo Final US 0.2 - Uso Meses Corridos y seasonality - Cambio IPC por Percentiles Rank (200 Percentiles) V2ensamble_grupos</v>
      </c>
      <c r="O35" t="str">
        <v>ganancias_Modelo Final US 0.2 - Uso Meses Corridos y seasonality - Cambio IPC por Percentiles Rank (200 Percentiles) V2ensamble_global</v>
      </c>
      <c r="P35" s="1">
        <f>SUMIFS(D:D,G:G,O35)</f>
        <v>730400000</v>
      </c>
    </row>
    <row r="36" spans="1:16" x14ac:dyDescent="0.25">
      <c r="A36">
        <v>202104</v>
      </c>
      <c r="B36" t="s">
        <v>5</v>
      </c>
      <c r="C36" t="s">
        <v>9</v>
      </c>
      <c r="D36" s="1">
        <v>372800000</v>
      </c>
      <c r="E36" t="s">
        <v>7</v>
      </c>
      <c r="F36" t="str">
        <f>_xlfn.TEXTBEFORE(E36,"_2021")</f>
        <v>ganancias_Modelo Final US 0.2 - Uso Meses Corridos V2 - Pruebo Undersampling solo en Meses viejos V2</v>
      </c>
      <c r="G36" t="str">
        <f>_xlfn.CONCAT(F36,C36)</f>
        <v>ganancias_Modelo Final US 0.2 - Uso Meses Corridos V2 - Pruebo Undersampling solo en Meses viejos V2april_seed3</v>
      </c>
      <c r="O36" t="str">
        <v>ganancias_Modelo Final US 0.2 - Uso Meses Corridos y seasonality - Cambio IPC por Percentiles Rank (200 Percentiles) V2ensamble_grupos</v>
      </c>
      <c r="P36" s="1">
        <f>SUMIFS(D:D,G:G,O36)</f>
        <v>730400000</v>
      </c>
    </row>
    <row r="37" spans="1:16" x14ac:dyDescent="0.25">
      <c r="A37">
        <v>202104</v>
      </c>
      <c r="B37" t="s">
        <v>5</v>
      </c>
      <c r="C37" t="s">
        <v>11</v>
      </c>
      <c r="D37" s="1">
        <v>372800000</v>
      </c>
      <c r="E37" t="s">
        <v>39</v>
      </c>
      <c r="F37" t="str">
        <f>_xlfn.TEXTBEFORE(E37,"_2021")</f>
        <v>ganancias_Modelo Final US 0.2 - Uso Meses Corridos V3 - Agrego a meses viejos seasonality</v>
      </c>
      <c r="G37" t="str">
        <f>_xlfn.CONCAT(F37,C37)</f>
        <v>ganancias_Modelo Final US 0.2 - Uso Meses Corridos V3 - Agrego a meses viejos seasonalityapril_seed5</v>
      </c>
      <c r="O37" t="str">
        <v>ganancias_Modelo Final US 0.2 - Uso Meses Corridos V2 - Pruebo Undersampling solo en Meses viejos V2april_seed3</v>
      </c>
      <c r="P37" s="1">
        <f>SUMIFS(D:D,G:G,O37)</f>
        <v>372800000</v>
      </c>
    </row>
    <row r="38" spans="1:16" x14ac:dyDescent="0.25">
      <c r="A38">
        <v>202104</v>
      </c>
      <c r="B38" t="s">
        <v>5</v>
      </c>
      <c r="C38" t="s">
        <v>6</v>
      </c>
      <c r="D38" s="1">
        <v>372000000</v>
      </c>
      <c r="E38" t="s">
        <v>43</v>
      </c>
      <c r="F38" t="str">
        <f>_xlfn.TEXTBEFORE(E38,"_2021")</f>
        <v>ganancias_Modelo Final US 0.2 - Uso Meses Corridos y seasonality - Cambio IPC por Percentiles Rank V2</v>
      </c>
      <c r="G38" t="str">
        <f>_xlfn.CONCAT(F38,C38)</f>
        <v>ganancias_Modelo Final US 0.2 - Uso Meses Corridos y seasonality - Cambio IPC por Percentiles Rank V2april_seed1</v>
      </c>
      <c r="O38" t="str">
        <v>ganancias_Modelo Final US 0.2 - Uso Meses Corridos V3 - Agrego a meses viejos seasonalityapril_seed5</v>
      </c>
      <c r="P38" s="1">
        <f>SUMIFS(D:D,G:G,O38)</f>
        <v>372800000</v>
      </c>
    </row>
    <row r="39" spans="1:16" x14ac:dyDescent="0.25">
      <c r="A39">
        <v>202104</v>
      </c>
      <c r="B39" t="s">
        <v>5</v>
      </c>
      <c r="C39" t="s">
        <v>10</v>
      </c>
      <c r="D39" s="1">
        <v>372000000</v>
      </c>
      <c r="E39" t="s">
        <v>43</v>
      </c>
      <c r="F39" t="str">
        <f>_xlfn.TEXTBEFORE(E39,"_2021")</f>
        <v>ganancias_Modelo Final US 0.2 - Uso Meses Corridos y seasonality - Cambio IPC por Percentiles Rank V2</v>
      </c>
      <c r="G39" t="str">
        <f>_xlfn.CONCAT(F39,C39)</f>
        <v>ganancias_Modelo Final US 0.2 - Uso Meses Corridos y seasonality - Cambio IPC por Percentiles Rank V2april_seed4</v>
      </c>
      <c r="O39" t="str">
        <v>ganancias_Modelo Final US 0.2 - Uso Meses Corridos y seasonality - Cambio IPC por Percentiles Rank V2april_seed1</v>
      </c>
      <c r="P39" s="1">
        <f>SUMIFS(D:D,G:G,O39)</f>
        <v>372000000</v>
      </c>
    </row>
    <row r="40" spans="1:16" x14ac:dyDescent="0.25">
      <c r="A40">
        <v>202104</v>
      </c>
      <c r="B40" t="s">
        <v>5</v>
      </c>
      <c r="C40" t="s">
        <v>8</v>
      </c>
      <c r="D40" s="1">
        <v>370400000</v>
      </c>
      <c r="E40" t="s">
        <v>43</v>
      </c>
      <c r="F40" t="str">
        <f>_xlfn.TEXTBEFORE(E40,"_2021")</f>
        <v>ganancias_Modelo Final US 0.2 - Uso Meses Corridos y seasonality - Cambio IPC por Percentiles Rank V2</v>
      </c>
      <c r="G40" t="str">
        <f>_xlfn.CONCAT(F40,C40)</f>
        <v>ganancias_Modelo Final US 0.2 - Uso Meses Corridos y seasonality - Cambio IPC por Percentiles Rank V2april_seed2</v>
      </c>
      <c r="O40" t="str">
        <v>ganancias_Modelo Final US 0.2 - Uso Meses Corridos y seasonality - Cambio IPC por Percentiles Rank V2april_seed4</v>
      </c>
      <c r="P40" s="1">
        <f>SUMIFS(D:D,G:G,O40)</f>
        <v>372000000</v>
      </c>
    </row>
    <row r="41" spans="1:16" x14ac:dyDescent="0.25">
      <c r="A41">
        <v>202104</v>
      </c>
      <c r="B41" t="s">
        <v>5</v>
      </c>
      <c r="C41" t="s">
        <v>11</v>
      </c>
      <c r="D41" s="1">
        <v>369600000</v>
      </c>
      <c r="E41" t="s">
        <v>7</v>
      </c>
      <c r="F41" t="str">
        <f>_xlfn.TEXTBEFORE(E41,"_2021")</f>
        <v>ganancias_Modelo Final US 0.2 - Uso Meses Corridos V2 - Pruebo Undersampling solo en Meses viejos V2</v>
      </c>
      <c r="G41" t="str">
        <f>_xlfn.CONCAT(F41,C41)</f>
        <v>ganancias_Modelo Final US 0.2 - Uso Meses Corridos V2 - Pruebo Undersampling solo en Meses viejos V2april_seed5</v>
      </c>
      <c r="O41" t="str">
        <v>ganancias_Modelo Final US 0.2 - Uso Meses Corridos y seasonality - Cambio IPC por Percentiles Rank V2april_seed2</v>
      </c>
      <c r="P41" s="1">
        <f>SUMIFS(D:D,G:G,O41)</f>
        <v>370400000</v>
      </c>
    </row>
    <row r="42" spans="1:16" x14ac:dyDescent="0.25">
      <c r="A42">
        <v>202104</v>
      </c>
      <c r="B42" t="s">
        <v>12</v>
      </c>
      <c r="C42" t="s">
        <v>13</v>
      </c>
      <c r="D42" s="1">
        <v>368800000</v>
      </c>
      <c r="E42" t="s">
        <v>47</v>
      </c>
      <c r="F42" t="str">
        <f>_xlfn.TEXTBEFORE(E42,"_2021")</f>
        <v>ganancias_modelos</v>
      </c>
      <c r="G42" t="str">
        <f>_xlfn.CONCAT(F42,C42)</f>
        <v>ganancias_modelosensamble_global</v>
      </c>
      <c r="O42" t="str">
        <v>ganancias_Modelo Final US 0.2 - Uso Meses Corridos V2 - Pruebo Undersampling solo en Meses viejos V2april_seed5</v>
      </c>
      <c r="P42" s="1">
        <f>SUMIFS(D:D,G:G,O42)</f>
        <v>369600000</v>
      </c>
    </row>
    <row r="43" spans="1:16" x14ac:dyDescent="0.25">
      <c r="A43">
        <v>202104</v>
      </c>
      <c r="B43" t="s">
        <v>14</v>
      </c>
      <c r="C43" t="s">
        <v>15</v>
      </c>
      <c r="D43" s="1">
        <v>368800000</v>
      </c>
      <c r="E43" t="s">
        <v>47</v>
      </c>
      <c r="F43" t="str">
        <f>_xlfn.TEXTBEFORE(E43,"_2021")</f>
        <v>ganancias_modelos</v>
      </c>
      <c r="G43" t="str">
        <f>_xlfn.CONCAT(F43,C43)</f>
        <v>ganancias_modelosensamble_grupos</v>
      </c>
      <c r="O43" t="str">
        <v>ganancias_modelosensamble_global</v>
      </c>
      <c r="P43" s="1">
        <f>SUMIFS(D:D,G:G,O43)</f>
        <v>771200000</v>
      </c>
    </row>
    <row r="44" spans="1:16" x14ac:dyDescent="0.25">
      <c r="A44">
        <v>202104</v>
      </c>
      <c r="B44" t="s">
        <v>5</v>
      </c>
      <c r="C44" t="s">
        <v>9</v>
      </c>
      <c r="D44" s="1">
        <v>366400000</v>
      </c>
      <c r="E44" t="s">
        <v>43</v>
      </c>
      <c r="F44" t="str">
        <f>_xlfn.TEXTBEFORE(E44,"_2021")</f>
        <v>ganancias_Modelo Final US 0.2 - Uso Meses Corridos y seasonality - Cambio IPC por Percentiles Rank V2</v>
      </c>
      <c r="G44" t="str">
        <f>_xlfn.CONCAT(F44,C44)</f>
        <v>ganancias_Modelo Final US 0.2 - Uso Meses Corridos y seasonality - Cambio IPC por Percentiles Rank V2april_seed3</v>
      </c>
      <c r="O44" t="str">
        <v>ganancias_modelosensamble_grupos</v>
      </c>
      <c r="P44" s="1">
        <f>SUMIFS(D:D,G:G,O44)</f>
        <v>771200000</v>
      </c>
    </row>
    <row r="45" spans="1:16" x14ac:dyDescent="0.25">
      <c r="A45">
        <v>202104</v>
      </c>
      <c r="B45" t="s">
        <v>5</v>
      </c>
      <c r="C45" t="s">
        <v>11</v>
      </c>
      <c r="D45" s="1">
        <v>365600000</v>
      </c>
      <c r="E45" t="s">
        <v>41</v>
      </c>
      <c r="F45" t="str">
        <f>_xlfn.TEXTBEFORE(E45,"_2021")</f>
        <v>ganancias_Modelo Final US 0.2 - Uso Meses Corridos y seasonality - Cambio IPC por Percentiles Rank (200 Percentiles) V2</v>
      </c>
      <c r="G45" t="str">
        <f>_xlfn.CONCAT(F45,C45)</f>
        <v>ganancias_Modelo Final US 0.2 - Uso Meses Corridos y seasonality - Cambio IPC por Percentiles Rank (200 Percentiles) V2april_seed5</v>
      </c>
      <c r="O45" t="str">
        <v>ganancias_Modelo Final US 0.2 - Uso Meses Corridos y seasonality - Cambio IPC por Percentiles Rank V2april_seed3</v>
      </c>
      <c r="P45" s="1">
        <f>SUMIFS(D:D,G:G,O45)</f>
        <v>366400000</v>
      </c>
    </row>
    <row r="46" spans="1:16" x14ac:dyDescent="0.25">
      <c r="A46">
        <v>202104</v>
      </c>
      <c r="B46" t="s">
        <v>5</v>
      </c>
      <c r="C46" t="s">
        <v>11</v>
      </c>
      <c r="D46" s="1">
        <v>365600000</v>
      </c>
      <c r="E46" t="s">
        <v>43</v>
      </c>
      <c r="F46" t="str">
        <f>_xlfn.TEXTBEFORE(E46,"_2021")</f>
        <v>ganancias_Modelo Final US 0.2 - Uso Meses Corridos y seasonality - Cambio IPC por Percentiles Rank V2</v>
      </c>
      <c r="G46" t="str">
        <f>_xlfn.CONCAT(F46,C46)</f>
        <v>ganancias_Modelo Final US 0.2 - Uso Meses Corridos y seasonality - Cambio IPC por Percentiles Rank V2april_seed5</v>
      </c>
      <c r="O46" t="str">
        <v>ganancias_Modelo Final US 0.2 - Uso Meses Corridos y seasonality - Cambio IPC por Percentiles Rank (200 Percentiles) V2april_seed5</v>
      </c>
      <c r="P46" s="1">
        <f>SUMIFS(D:D,G:G,O46)</f>
        <v>365600000</v>
      </c>
    </row>
    <row r="47" spans="1:16" x14ac:dyDescent="0.25">
      <c r="A47">
        <v>202104</v>
      </c>
      <c r="B47" t="s">
        <v>60</v>
      </c>
      <c r="C47" t="s">
        <v>61</v>
      </c>
      <c r="D47" s="1">
        <v>362400000</v>
      </c>
      <c r="E47" t="s">
        <v>47</v>
      </c>
      <c r="F47" t="str">
        <f>_xlfn.TEXTBEFORE(E47,"_2021")</f>
        <v>ganancias_modelos</v>
      </c>
      <c r="G47" t="str">
        <f>_xlfn.CONCAT(F47,C47)</f>
        <v>ganancias_modelosseasonal_summer_seed1</v>
      </c>
      <c r="O47" t="str">
        <v>ganancias_Modelo Final US 0.2 - Uso Meses Corridos y seasonality - Cambio IPC por Percentiles Rank V2april_seed5</v>
      </c>
      <c r="P47" s="1">
        <f>SUMIFS(D:D,G:G,O47)</f>
        <v>365600000</v>
      </c>
    </row>
    <row r="48" spans="1:16" x14ac:dyDescent="0.25">
      <c r="A48">
        <v>202104</v>
      </c>
      <c r="B48" t="s">
        <v>54</v>
      </c>
      <c r="C48" t="s">
        <v>55</v>
      </c>
      <c r="D48" s="1">
        <v>361600000</v>
      </c>
      <c r="E48" t="s">
        <v>47</v>
      </c>
      <c r="F48" t="str">
        <f>_xlfn.TEXTBEFORE(E48,"_2021")</f>
        <v>ganancias_modelos</v>
      </c>
      <c r="G48" t="str">
        <f>_xlfn.CONCAT(F48,C48)</f>
        <v>ganancias_modelosrolling_05_seed1</v>
      </c>
      <c r="O48" t="str">
        <v>ganancias_modelosseasonal_summer_seed1</v>
      </c>
      <c r="P48" s="1">
        <f>SUMIFS(D:D,G:G,O48)</f>
        <v>742400000</v>
      </c>
    </row>
    <row r="49" spans="1:16" x14ac:dyDescent="0.25">
      <c r="A49">
        <v>202104</v>
      </c>
      <c r="B49" t="s">
        <v>50</v>
      </c>
      <c r="C49" t="s">
        <v>51</v>
      </c>
      <c r="D49" s="1">
        <v>355200000</v>
      </c>
      <c r="E49" t="s">
        <v>47</v>
      </c>
      <c r="F49" t="str">
        <f>_xlfn.TEXTBEFORE(E49,"_2021")</f>
        <v>ganancias_modelos</v>
      </c>
      <c r="G49" t="str">
        <f>_xlfn.CONCAT(F49,C49)</f>
        <v>ganancias_modelosrolling_03_seed1</v>
      </c>
      <c r="O49" t="str">
        <v>ganancias_modelosrolling_05_seed1</v>
      </c>
      <c r="P49" s="1">
        <f>SUMIFS(D:D,G:G,O49)</f>
        <v>713600000</v>
      </c>
    </row>
    <row r="50" spans="1:16" x14ac:dyDescent="0.25">
      <c r="A50">
        <v>202104</v>
      </c>
      <c r="B50" t="s">
        <v>84</v>
      </c>
      <c r="C50" t="s">
        <v>85</v>
      </c>
      <c r="D50" s="1">
        <v>354400000</v>
      </c>
      <c r="E50" t="s">
        <v>47</v>
      </c>
      <c r="F50" t="str">
        <f>_xlfn.TEXTBEFORE(E50,"_2021")</f>
        <v>ganancias_modelos</v>
      </c>
      <c r="G50" t="str">
        <f>_xlfn.CONCAT(F50,C50)</f>
        <v>ganancias_modelosmixed_full_year_seed1</v>
      </c>
      <c r="O50" t="str">
        <v>ganancias_modelosrolling_03_seed1</v>
      </c>
      <c r="P50" s="1">
        <f>SUMIFS(D:D,G:G,O50)</f>
        <v>724000000</v>
      </c>
    </row>
    <row r="51" spans="1:16" x14ac:dyDescent="0.25">
      <c r="A51">
        <v>202104</v>
      </c>
      <c r="B51" t="s">
        <v>82</v>
      </c>
      <c r="C51" t="s">
        <v>83</v>
      </c>
      <c r="D51" s="1">
        <v>353600000</v>
      </c>
      <c r="E51" t="s">
        <v>47</v>
      </c>
      <c r="F51" t="str">
        <f>_xlfn.TEXTBEFORE(E51,"_2021")</f>
        <v>ganancias_modelos</v>
      </c>
      <c r="G51" t="str">
        <f>_xlfn.CONCAT(F51,C51)</f>
        <v>ganancias_modelosmixed_transition_seed1</v>
      </c>
      <c r="O51" t="str">
        <v>ganancias_modelosmixed_full_year_seed1</v>
      </c>
      <c r="P51" s="1">
        <f>SUMIFS(D:D,G:G,O51)</f>
        <v>697600000</v>
      </c>
    </row>
    <row r="52" spans="1:16" x14ac:dyDescent="0.25">
      <c r="A52">
        <v>202104</v>
      </c>
      <c r="B52" t="s">
        <v>52</v>
      </c>
      <c r="C52" t="s">
        <v>53</v>
      </c>
      <c r="D52" s="1">
        <v>352800000</v>
      </c>
      <c r="E52" t="s">
        <v>47</v>
      </c>
      <c r="F52" t="str">
        <f>_xlfn.TEXTBEFORE(E52,"_2021")</f>
        <v>ganancias_modelos</v>
      </c>
      <c r="G52" t="str">
        <f>_xlfn.CONCAT(F52,C52)</f>
        <v>ganancias_modelosrolling_04_seed1</v>
      </c>
      <c r="O52" t="str">
        <v>ganancias_modelosmixed_transition_seed1</v>
      </c>
      <c r="P52" s="1">
        <f>SUMIFS(D:D,G:G,O52)</f>
        <v>720000000</v>
      </c>
    </row>
    <row r="53" spans="1:16" x14ac:dyDescent="0.25">
      <c r="A53">
        <v>202104</v>
      </c>
      <c r="B53" t="s">
        <v>56</v>
      </c>
      <c r="C53" t="s">
        <v>57</v>
      </c>
      <c r="D53" s="1">
        <v>352800000</v>
      </c>
      <c r="E53" t="s">
        <v>47</v>
      </c>
      <c r="F53" t="str">
        <f>_xlfn.TEXTBEFORE(E53,"_2021")</f>
        <v>ganancias_modelos</v>
      </c>
      <c r="G53" t="str">
        <f>_xlfn.CONCAT(F53,C53)</f>
        <v>ganancias_modelosrolling_06_seed1</v>
      </c>
      <c r="O53" t="str">
        <v>ganancias_modelosrolling_04_seed1</v>
      </c>
      <c r="P53" s="1">
        <f>SUMIFS(D:D,G:G,O53)</f>
        <v>679200000</v>
      </c>
    </row>
    <row r="54" spans="1:16" x14ac:dyDescent="0.25">
      <c r="A54">
        <v>202104</v>
      </c>
      <c r="B54" t="s">
        <v>58</v>
      </c>
      <c r="C54" t="s">
        <v>59</v>
      </c>
      <c r="D54" s="1">
        <v>352000000</v>
      </c>
      <c r="E54" t="s">
        <v>47</v>
      </c>
      <c r="F54" t="str">
        <f>_xlfn.TEXTBEFORE(E54,"_2021")</f>
        <v>ganancias_modelos</v>
      </c>
      <c r="G54" t="str">
        <f>_xlfn.CONCAT(F54,C54)</f>
        <v>ganancias_modelosrolling_07_seed1</v>
      </c>
      <c r="O54" t="str">
        <v>ganancias_modelosrolling_06_seed1</v>
      </c>
      <c r="P54" s="1">
        <f>SUMIFS(D:D,G:G,O54)</f>
        <v>736800000</v>
      </c>
    </row>
    <row r="55" spans="1:16" x14ac:dyDescent="0.25">
      <c r="A55">
        <v>202104</v>
      </c>
      <c r="B55" t="s">
        <v>64</v>
      </c>
      <c r="C55" t="s">
        <v>65</v>
      </c>
      <c r="D55" s="1">
        <v>348800000</v>
      </c>
      <c r="E55" t="s">
        <v>47</v>
      </c>
      <c r="F55" t="str">
        <f>_xlfn.TEXTBEFORE(E55,"_2021")</f>
        <v>ganancias_modelos</v>
      </c>
      <c r="G55" t="str">
        <f>_xlfn.CONCAT(F55,C55)</f>
        <v>ganancias_modelosseasonal_winter_seed1</v>
      </c>
      <c r="O55" t="str">
        <v>ganancias_modelosrolling_07_seed1</v>
      </c>
      <c r="P55" s="1">
        <f>SUMIFS(D:D,G:G,O55)</f>
        <v>710400000</v>
      </c>
    </row>
    <row r="56" spans="1:16" x14ac:dyDescent="0.25">
      <c r="A56">
        <v>202104</v>
      </c>
      <c r="B56" t="s">
        <v>76</v>
      </c>
      <c r="C56" t="s">
        <v>77</v>
      </c>
      <c r="D56" s="1">
        <v>348000000</v>
      </c>
      <c r="E56" t="s">
        <v>47</v>
      </c>
      <c r="F56" t="str">
        <f>_xlfn.TEXTBEFORE(E56,"_2021")</f>
        <v>ganancias_modelos</v>
      </c>
      <c r="G56" t="str">
        <f>_xlfn.CONCAT(F56,C56)</f>
        <v>ganancias_modelosmixed_recent_02_seed1</v>
      </c>
      <c r="O56" t="str">
        <v>ganancias_modelosseasonal_winter_seed1</v>
      </c>
      <c r="P56" s="1">
        <f>SUMIFS(D:D,G:G,O56)</f>
        <v>721600000</v>
      </c>
    </row>
    <row r="57" spans="1:16" x14ac:dyDescent="0.25">
      <c r="A57">
        <v>202104</v>
      </c>
      <c r="B57" t="s">
        <v>72</v>
      </c>
      <c r="C57" t="s">
        <v>73</v>
      </c>
      <c r="D57" s="1">
        <v>343200000</v>
      </c>
      <c r="E57" t="s">
        <v>47</v>
      </c>
      <c r="F57" t="str">
        <f>_xlfn.TEXTBEFORE(E57,"_2021")</f>
        <v>ganancias_modelos</v>
      </c>
      <c r="G57" t="str">
        <f>_xlfn.CONCAT(F57,C57)</f>
        <v>ganancias_modelosseasonal_q2_seed1</v>
      </c>
      <c r="O57" t="str">
        <v>ganancias_modelosmixed_recent_02_seed1</v>
      </c>
      <c r="P57" s="1">
        <f>SUMIFS(D:D,G:G,O57)</f>
        <v>695200000</v>
      </c>
    </row>
    <row r="58" spans="1:16" x14ac:dyDescent="0.25">
      <c r="A58">
        <v>202104</v>
      </c>
      <c r="B58" t="s">
        <v>48</v>
      </c>
      <c r="C58" t="s">
        <v>49</v>
      </c>
      <c r="D58" s="1">
        <v>338400000</v>
      </c>
      <c r="E58" t="s">
        <v>47</v>
      </c>
      <c r="F58" t="str">
        <f>_xlfn.TEXTBEFORE(E58,"_2021")</f>
        <v>ganancias_modelos</v>
      </c>
      <c r="G58" t="str">
        <f>_xlfn.CONCAT(F58,C58)</f>
        <v>ganancias_modelosrolling_02_seed1</v>
      </c>
      <c r="O58" t="str">
        <v>ganancias_modelosseasonal_q2_seed1</v>
      </c>
      <c r="P58" s="1">
        <f>SUMIFS(D:D,G:G,O58)</f>
        <v>720000000</v>
      </c>
    </row>
    <row r="59" spans="1:16" x14ac:dyDescent="0.25">
      <c r="A59">
        <v>202104</v>
      </c>
      <c r="B59" t="s">
        <v>66</v>
      </c>
      <c r="C59" t="s">
        <v>67</v>
      </c>
      <c r="D59" s="1">
        <v>336800000</v>
      </c>
      <c r="E59" t="s">
        <v>47</v>
      </c>
      <c r="F59" t="str">
        <f>_xlfn.TEXTBEFORE(E59,"_2021")</f>
        <v>ganancias_modelos</v>
      </c>
      <c r="G59" t="str">
        <f>_xlfn.CONCAT(F59,C59)</f>
        <v>ganancias_modelosseasonal_spring_seed1</v>
      </c>
      <c r="O59" t="str">
        <v>ganancias_modelosrolling_02_seed1</v>
      </c>
      <c r="P59" s="1">
        <f>SUMIFS(D:D,G:G,O59)</f>
        <v>724800000</v>
      </c>
    </row>
    <row r="60" spans="1:16" x14ac:dyDescent="0.25">
      <c r="A60">
        <v>202104</v>
      </c>
      <c r="B60" t="s">
        <v>80</v>
      </c>
      <c r="C60" t="s">
        <v>81</v>
      </c>
      <c r="D60" s="1">
        <v>336800000</v>
      </c>
      <c r="E60" t="s">
        <v>47</v>
      </c>
      <c r="F60" t="str">
        <f>_xlfn.TEXTBEFORE(E60,"_2021")</f>
        <v>ganancias_modelos</v>
      </c>
      <c r="G60" t="str">
        <f>_xlfn.CONCAT(F60,C60)</f>
        <v>ganancias_modelosmixed_early_02_seed1</v>
      </c>
      <c r="O60" t="str">
        <v>ganancias_modelosseasonal_spring_seed1</v>
      </c>
      <c r="P60" s="1">
        <f>SUMIFS(D:D,G:G,O60)</f>
        <v>675200000</v>
      </c>
    </row>
    <row r="61" spans="1:16" x14ac:dyDescent="0.25">
      <c r="A61">
        <v>202104</v>
      </c>
      <c r="B61" t="s">
        <v>70</v>
      </c>
      <c r="C61" t="s">
        <v>71</v>
      </c>
      <c r="D61" s="1">
        <v>335200000</v>
      </c>
      <c r="E61" t="s">
        <v>47</v>
      </c>
      <c r="F61" t="str">
        <f>_xlfn.TEXTBEFORE(E61,"_2021")</f>
        <v>ganancias_modelos</v>
      </c>
      <c r="G61" t="str">
        <f>_xlfn.CONCAT(F61,C61)</f>
        <v>ganancias_modelosseasonal_q1_seed1</v>
      </c>
      <c r="O61" t="str">
        <v>ganancias_modelosmixed_early_02_seed1</v>
      </c>
      <c r="P61" s="1">
        <f>SUMIFS(D:D,G:G,O61)</f>
        <v>718400000</v>
      </c>
    </row>
    <row r="62" spans="1:16" x14ac:dyDescent="0.25">
      <c r="A62">
        <v>202104</v>
      </c>
      <c r="B62" t="s">
        <v>78</v>
      </c>
      <c r="C62" t="s">
        <v>79</v>
      </c>
      <c r="D62" s="1">
        <v>330400000</v>
      </c>
      <c r="E62" t="s">
        <v>47</v>
      </c>
      <c r="F62" t="str">
        <f>_xlfn.TEXTBEFORE(E62,"_2021")</f>
        <v>ganancias_modelos</v>
      </c>
      <c r="G62" t="str">
        <f>_xlfn.CONCAT(F62,C62)</f>
        <v>ganancias_modelosmixed_early_01_seed1</v>
      </c>
      <c r="O62" t="str">
        <v>ganancias_modelosseasonal_q1_seed1</v>
      </c>
      <c r="P62" s="1">
        <f>SUMIFS(D:D,G:G,O62)</f>
        <v>705600000</v>
      </c>
    </row>
    <row r="63" spans="1:16" x14ac:dyDescent="0.25">
      <c r="A63">
        <v>202104</v>
      </c>
      <c r="B63" t="s">
        <v>68</v>
      </c>
      <c r="C63" t="s">
        <v>69</v>
      </c>
      <c r="D63" s="1">
        <v>327200000</v>
      </c>
      <c r="E63" t="s">
        <v>47</v>
      </c>
      <c r="F63" t="str">
        <f>_xlfn.TEXTBEFORE(E63,"_2021")</f>
        <v>ganancias_modelos</v>
      </c>
      <c r="G63" t="str">
        <f>_xlfn.CONCAT(F63,C63)</f>
        <v>ganancias_modelosseasonal_end_of_year_seed1</v>
      </c>
      <c r="O63" t="str">
        <v>ganancias_modelosmixed_early_01_seed1</v>
      </c>
      <c r="P63" s="1">
        <f>SUMIFS(D:D,G:G,O63)</f>
        <v>700800000</v>
      </c>
    </row>
    <row r="64" spans="1:16" x14ac:dyDescent="0.25">
      <c r="A64">
        <v>202104</v>
      </c>
      <c r="B64" t="s">
        <v>45</v>
      </c>
      <c r="C64" t="s">
        <v>46</v>
      </c>
      <c r="D64" s="1">
        <v>326400000</v>
      </c>
      <c r="E64" t="s">
        <v>47</v>
      </c>
      <c r="F64" t="str">
        <f>_xlfn.TEXTBEFORE(E64,"_2021")</f>
        <v>ganancias_modelos</v>
      </c>
      <c r="G64" t="str">
        <f>_xlfn.CONCAT(F64,C64)</f>
        <v>ganancias_modelosrolling_01_seed1</v>
      </c>
      <c r="O64" t="str">
        <v>ganancias_modelosseasonal_end_of_year_seed1</v>
      </c>
      <c r="P64" s="1">
        <f>SUMIFS(D:D,G:G,O64)</f>
        <v>695200000</v>
      </c>
    </row>
    <row r="65" spans="1:16" x14ac:dyDescent="0.25">
      <c r="A65">
        <v>202104</v>
      </c>
      <c r="B65" t="s">
        <v>62</v>
      </c>
      <c r="C65" t="s">
        <v>63</v>
      </c>
      <c r="D65" s="1">
        <v>325600000</v>
      </c>
      <c r="E65" t="s">
        <v>47</v>
      </c>
      <c r="F65" t="str">
        <f>_xlfn.TEXTBEFORE(E65,"_2021")</f>
        <v>ganancias_modelos</v>
      </c>
      <c r="G65" t="str">
        <f>_xlfn.CONCAT(F65,C65)</f>
        <v>ganancias_modelosseasonal_autumn_seed1</v>
      </c>
      <c r="O65" t="str">
        <v>ganancias_modelosrolling_01_seed1</v>
      </c>
      <c r="P65" s="1">
        <f>SUMIFS(D:D,G:G,O65)</f>
        <v>703200000</v>
      </c>
    </row>
    <row r="66" spans="1:16" x14ac:dyDescent="0.25">
      <c r="A66">
        <v>202106</v>
      </c>
      <c r="B66" t="s">
        <v>12</v>
      </c>
      <c r="C66" t="s">
        <v>13</v>
      </c>
      <c r="D66" s="1">
        <v>402400000</v>
      </c>
      <c r="E66" t="s">
        <v>86</v>
      </c>
      <c r="F66" t="str">
        <f>_xlfn.TEXTBEFORE(E66,"_2021")</f>
        <v>ganancias_modelos</v>
      </c>
      <c r="G66" t="str">
        <f>_xlfn.CONCAT(F66,C66)</f>
        <v>ganancias_modelosensamble_global</v>
      </c>
      <c r="O66" t="str">
        <v>ganancias_modelosseasonal_autumn_seed1</v>
      </c>
      <c r="P66" s="1">
        <f>SUMIFS(D:D,G:G,O66)</f>
        <v>676800000</v>
      </c>
    </row>
    <row r="67" spans="1:16" x14ac:dyDescent="0.25">
      <c r="A67">
        <v>202106</v>
      </c>
      <c r="B67" t="s">
        <v>14</v>
      </c>
      <c r="C67" t="s">
        <v>15</v>
      </c>
      <c r="D67" s="1">
        <v>402400000</v>
      </c>
      <c r="E67" t="s">
        <v>86</v>
      </c>
      <c r="F67" t="str">
        <f>_xlfn.TEXTBEFORE(E67,"_2021")</f>
        <v>ganancias_modelos</v>
      </c>
      <c r="G67" t="str">
        <f>_xlfn.CONCAT(F67,C67)</f>
        <v>ganancias_modelosensamble_grupos</v>
      </c>
      <c r="O67" t="str">
        <v>ganancias_modelosrolling_06_seed3</v>
      </c>
      <c r="P67" s="1">
        <f>SUMIFS(D:D,G:G,O67)</f>
        <v>392800000</v>
      </c>
    </row>
    <row r="68" spans="1:16" x14ac:dyDescent="0.25">
      <c r="A68">
        <v>202106</v>
      </c>
      <c r="B68" t="s">
        <v>56</v>
      </c>
      <c r="C68" t="s">
        <v>108</v>
      </c>
      <c r="D68" s="1">
        <v>392800000</v>
      </c>
      <c r="E68" t="s">
        <v>86</v>
      </c>
      <c r="F68" t="str">
        <f>_xlfn.TEXTBEFORE(E68,"_2021")</f>
        <v>ganancias_modelos</v>
      </c>
      <c r="G68" t="str">
        <f>_xlfn.CONCAT(F68,C68)</f>
        <v>ganancias_modelosrolling_06_seed3</v>
      </c>
      <c r="O68" t="str">
        <v>ganancias_modelosrolling_06_seed5</v>
      </c>
      <c r="P68" s="1">
        <f>SUMIFS(D:D,G:G,O68)</f>
        <v>388800000</v>
      </c>
    </row>
    <row r="69" spans="1:16" x14ac:dyDescent="0.25">
      <c r="A69">
        <v>202106</v>
      </c>
      <c r="B69" t="s">
        <v>56</v>
      </c>
      <c r="C69" t="s">
        <v>110</v>
      </c>
      <c r="D69" s="1">
        <v>388800000</v>
      </c>
      <c r="E69" t="s">
        <v>86</v>
      </c>
      <c r="F69" t="str">
        <f>_xlfn.TEXTBEFORE(E69,"_2021")</f>
        <v>ganancias_modelos</v>
      </c>
      <c r="G69" t="str">
        <f>_xlfn.CONCAT(F69,C69)</f>
        <v>ganancias_modelosrolling_06_seed5</v>
      </c>
      <c r="O69" t="str">
        <v>ganancias_modelosseasonal_q2_seed3</v>
      </c>
      <c r="P69" s="1">
        <f>SUMIFS(D:D,G:G,O69)</f>
        <v>383200000</v>
      </c>
    </row>
    <row r="70" spans="1:16" x14ac:dyDescent="0.25">
      <c r="A70">
        <v>202106</v>
      </c>
      <c r="B70" t="s">
        <v>48</v>
      </c>
      <c r="C70" t="s">
        <v>49</v>
      </c>
      <c r="D70" s="1">
        <v>386400000</v>
      </c>
      <c r="E70" t="s">
        <v>86</v>
      </c>
      <c r="F70" t="str">
        <f>_xlfn.TEXTBEFORE(E70,"_2021")</f>
        <v>ganancias_modelos</v>
      </c>
      <c r="G70" t="str">
        <f>_xlfn.CONCAT(F70,C70)</f>
        <v>ganancias_modelosrolling_02_seed1</v>
      </c>
      <c r="O70" t="str">
        <v>ganancias_modelosmixed_early_02_seed3</v>
      </c>
      <c r="P70" s="1">
        <f>SUMIFS(D:D,G:G,O70)</f>
        <v>383200000</v>
      </c>
    </row>
    <row r="71" spans="1:16" x14ac:dyDescent="0.25">
      <c r="A71">
        <v>202106</v>
      </c>
      <c r="B71" t="s">
        <v>56</v>
      </c>
      <c r="C71" t="s">
        <v>57</v>
      </c>
      <c r="D71" s="1">
        <v>384000000</v>
      </c>
      <c r="E71" t="s">
        <v>86</v>
      </c>
      <c r="F71" t="str">
        <f>_xlfn.TEXTBEFORE(E71,"_2021")</f>
        <v>ganancias_modelos</v>
      </c>
      <c r="G71" t="str">
        <f>_xlfn.CONCAT(F71,C71)</f>
        <v>ganancias_modelosrolling_06_seed1</v>
      </c>
      <c r="O71" t="str">
        <v>ganancias_modelosmixed_early_02_seed5</v>
      </c>
      <c r="P71" s="1">
        <f>SUMIFS(D:D,G:G,O71)</f>
        <v>383200000</v>
      </c>
    </row>
    <row r="72" spans="1:16" x14ac:dyDescent="0.25">
      <c r="A72">
        <v>202106</v>
      </c>
      <c r="B72" t="s">
        <v>72</v>
      </c>
      <c r="C72" t="s">
        <v>140</v>
      </c>
      <c r="D72" s="1">
        <v>383200000</v>
      </c>
      <c r="E72" t="s">
        <v>86</v>
      </c>
      <c r="F72" t="str">
        <f>_xlfn.TEXTBEFORE(E72,"_2021")</f>
        <v>ganancias_modelos</v>
      </c>
      <c r="G72" t="str">
        <f>_xlfn.CONCAT(F72,C72)</f>
        <v>ganancias_modelosseasonal_q2_seed3</v>
      </c>
      <c r="O72" t="str">
        <v>ganancias_modelosseasonal_summer_seed5</v>
      </c>
      <c r="P72" s="1">
        <f>SUMIFS(D:D,G:G,O72)</f>
        <v>382400000</v>
      </c>
    </row>
    <row r="73" spans="1:16" x14ac:dyDescent="0.25">
      <c r="A73">
        <v>202106</v>
      </c>
      <c r="B73" t="s">
        <v>80</v>
      </c>
      <c r="C73" t="s">
        <v>156</v>
      </c>
      <c r="D73" s="1">
        <v>383200000</v>
      </c>
      <c r="E73" t="s">
        <v>86</v>
      </c>
      <c r="F73" t="str">
        <f>_xlfn.TEXTBEFORE(E73,"_2021")</f>
        <v>ganancias_modelos</v>
      </c>
      <c r="G73" t="str">
        <f>_xlfn.CONCAT(F73,C73)</f>
        <v>ganancias_modelosmixed_early_02_seed3</v>
      </c>
      <c r="O73" t="str">
        <v>ganancias_modelosrolling_01_seed3</v>
      </c>
      <c r="P73" s="1">
        <f>SUMIFS(D:D,G:G,O73)</f>
        <v>381600000</v>
      </c>
    </row>
    <row r="74" spans="1:16" x14ac:dyDescent="0.25">
      <c r="A74">
        <v>202106</v>
      </c>
      <c r="B74" t="s">
        <v>80</v>
      </c>
      <c r="C74" t="s">
        <v>158</v>
      </c>
      <c r="D74" s="1">
        <v>383200000</v>
      </c>
      <c r="E74" t="s">
        <v>86</v>
      </c>
      <c r="F74" t="str">
        <f>_xlfn.TEXTBEFORE(E74,"_2021")</f>
        <v>ganancias_modelos</v>
      </c>
      <c r="G74" t="str">
        <f>_xlfn.CONCAT(F74,C74)</f>
        <v>ganancias_modelosmixed_early_02_seed5</v>
      </c>
      <c r="O74" t="str">
        <v>ganancias_modelosrolling_01_seed5</v>
      </c>
      <c r="P74" s="1">
        <f>SUMIFS(D:D,G:G,O74)</f>
        <v>381600000</v>
      </c>
    </row>
    <row r="75" spans="1:16" x14ac:dyDescent="0.25">
      <c r="A75">
        <v>202106</v>
      </c>
      <c r="B75" t="s">
        <v>60</v>
      </c>
      <c r="C75" t="s">
        <v>118</v>
      </c>
      <c r="D75" s="1">
        <v>382400000</v>
      </c>
      <c r="E75" t="s">
        <v>86</v>
      </c>
      <c r="F75" t="str">
        <f>_xlfn.TEXTBEFORE(E75,"_2021")</f>
        <v>ganancias_modelos</v>
      </c>
      <c r="G75" t="str">
        <f>_xlfn.CONCAT(F75,C75)</f>
        <v>ganancias_modelosseasonal_summer_seed5</v>
      </c>
      <c r="O75" t="str">
        <v>ganancias_modelosseasonal_q2_seed5</v>
      </c>
      <c r="P75" s="1">
        <f>SUMIFS(D:D,G:G,O75)</f>
        <v>380800000</v>
      </c>
    </row>
    <row r="76" spans="1:16" x14ac:dyDescent="0.25">
      <c r="A76">
        <v>202106</v>
      </c>
      <c r="B76" t="s">
        <v>45</v>
      </c>
      <c r="C76" t="s">
        <v>88</v>
      </c>
      <c r="D76" s="1">
        <v>381600000</v>
      </c>
      <c r="E76" t="s">
        <v>86</v>
      </c>
      <c r="F76" t="str">
        <f>_xlfn.TEXTBEFORE(E76,"_2021")</f>
        <v>ganancias_modelos</v>
      </c>
      <c r="G76" t="str">
        <f>_xlfn.CONCAT(F76,C76)</f>
        <v>ganancias_modelosrolling_01_seed3</v>
      </c>
      <c r="O76" t="str">
        <v>ganancias_modelosrolling_06_seed2</v>
      </c>
      <c r="P76" s="1">
        <f>SUMIFS(D:D,G:G,O76)</f>
        <v>380000000</v>
      </c>
    </row>
    <row r="77" spans="1:16" x14ac:dyDescent="0.25">
      <c r="A77">
        <v>202106</v>
      </c>
      <c r="B77" t="s">
        <v>45</v>
      </c>
      <c r="C77" t="s">
        <v>90</v>
      </c>
      <c r="D77" s="1">
        <v>381600000</v>
      </c>
      <c r="E77" t="s">
        <v>86</v>
      </c>
      <c r="F77" t="str">
        <f>_xlfn.TEXTBEFORE(E77,"_2021")</f>
        <v>ganancias_modelos</v>
      </c>
      <c r="G77" t="str">
        <f>_xlfn.CONCAT(F77,C77)</f>
        <v>ganancias_modelosrolling_01_seed5</v>
      </c>
      <c r="O77" t="str">
        <v>ganancias_modelosseasonal_summer_seed4</v>
      </c>
      <c r="P77" s="1">
        <f>SUMIFS(D:D,G:G,O77)</f>
        <v>380000000</v>
      </c>
    </row>
    <row r="78" spans="1:16" x14ac:dyDescent="0.25">
      <c r="A78">
        <v>202106</v>
      </c>
      <c r="B78" t="s">
        <v>80</v>
      </c>
      <c r="C78" t="s">
        <v>81</v>
      </c>
      <c r="D78" s="1">
        <v>381600000</v>
      </c>
      <c r="E78" t="s">
        <v>86</v>
      </c>
      <c r="F78" t="str">
        <f>_xlfn.TEXTBEFORE(E78,"_2021")</f>
        <v>ganancias_modelos</v>
      </c>
      <c r="G78" t="str">
        <f>_xlfn.CONCAT(F78,C78)</f>
        <v>ganancias_modelosmixed_early_02_seed1</v>
      </c>
      <c r="O78" t="str">
        <v>ganancias_modelosseasonal_end_of_year_seed3</v>
      </c>
      <c r="P78" s="1">
        <f>SUMIFS(D:D,G:G,O78)</f>
        <v>380000000</v>
      </c>
    </row>
    <row r="79" spans="1:16" x14ac:dyDescent="0.25">
      <c r="A79">
        <v>202106</v>
      </c>
      <c r="B79" t="s">
        <v>72</v>
      </c>
      <c r="C79" t="s">
        <v>142</v>
      </c>
      <c r="D79" s="1">
        <v>380800000</v>
      </c>
      <c r="E79" t="s">
        <v>86</v>
      </c>
      <c r="F79" t="str">
        <f>_xlfn.TEXTBEFORE(E79,"_2021")</f>
        <v>ganancias_modelos</v>
      </c>
      <c r="G79" t="str">
        <f>_xlfn.CONCAT(F79,C79)</f>
        <v>ganancias_modelosseasonal_q2_seed5</v>
      </c>
      <c r="O79" t="str">
        <v>ganancias_modelosrolling_06_seed4</v>
      </c>
      <c r="P79" s="1">
        <f>SUMIFS(D:D,G:G,O79)</f>
        <v>379200000</v>
      </c>
    </row>
    <row r="80" spans="1:16" x14ac:dyDescent="0.25">
      <c r="A80">
        <v>202106</v>
      </c>
      <c r="B80" t="s">
        <v>56</v>
      </c>
      <c r="C80" t="s">
        <v>107</v>
      </c>
      <c r="D80" s="1">
        <v>380000000</v>
      </c>
      <c r="E80" t="s">
        <v>86</v>
      </c>
      <c r="F80" t="str">
        <f>_xlfn.TEXTBEFORE(E80,"_2021")</f>
        <v>ganancias_modelos</v>
      </c>
      <c r="G80" t="str">
        <f>_xlfn.CONCAT(F80,C80)</f>
        <v>ganancias_modelosrolling_06_seed2</v>
      </c>
      <c r="O80" t="str">
        <v>ganancias_modelosrolling_02_seed4</v>
      </c>
      <c r="P80" s="1">
        <f>SUMIFS(D:D,G:G,O80)</f>
        <v>376800000</v>
      </c>
    </row>
    <row r="81" spans="1:16" x14ac:dyDescent="0.25">
      <c r="A81">
        <v>202106</v>
      </c>
      <c r="B81" t="s">
        <v>60</v>
      </c>
      <c r="C81" t="s">
        <v>61</v>
      </c>
      <c r="D81" s="1">
        <v>380000000</v>
      </c>
      <c r="E81" t="s">
        <v>86</v>
      </c>
      <c r="F81" t="str">
        <f>_xlfn.TEXTBEFORE(E81,"_2021")</f>
        <v>ganancias_modelos</v>
      </c>
      <c r="G81" t="str">
        <f>_xlfn.CONCAT(F81,C81)</f>
        <v>ganancias_modelosseasonal_summer_seed1</v>
      </c>
      <c r="O81" t="str">
        <v>ganancias_modelosrolling_03_seed2</v>
      </c>
      <c r="P81" s="1">
        <f>SUMIFS(D:D,G:G,O81)</f>
        <v>376800000</v>
      </c>
    </row>
    <row r="82" spans="1:16" x14ac:dyDescent="0.25">
      <c r="A82">
        <v>202106</v>
      </c>
      <c r="B82" t="s">
        <v>60</v>
      </c>
      <c r="C82" t="s">
        <v>117</v>
      </c>
      <c r="D82" s="1">
        <v>380000000</v>
      </c>
      <c r="E82" t="s">
        <v>86</v>
      </c>
      <c r="F82" t="str">
        <f>_xlfn.TEXTBEFORE(E82,"_2021")</f>
        <v>ganancias_modelos</v>
      </c>
      <c r="G82" t="str">
        <f>_xlfn.CONCAT(F82,C82)</f>
        <v>ganancias_modelosseasonal_summer_seed4</v>
      </c>
      <c r="O82" t="str">
        <v>ganancias_modelosrolling_03_seed5</v>
      </c>
      <c r="P82" s="1">
        <f>SUMIFS(D:D,G:G,O82)</f>
        <v>376800000</v>
      </c>
    </row>
    <row r="83" spans="1:16" x14ac:dyDescent="0.25">
      <c r="A83">
        <v>202106</v>
      </c>
      <c r="B83" t="s">
        <v>68</v>
      </c>
      <c r="C83" t="s">
        <v>132</v>
      </c>
      <c r="D83" s="1">
        <v>380000000</v>
      </c>
      <c r="E83" t="s">
        <v>86</v>
      </c>
      <c r="F83" t="str">
        <f>_xlfn.TEXTBEFORE(E83,"_2021")</f>
        <v>ganancias_modelos</v>
      </c>
      <c r="G83" t="str">
        <f>_xlfn.CONCAT(F83,C83)</f>
        <v>ganancias_modelosseasonal_end_of_year_seed3</v>
      </c>
      <c r="O83" t="str">
        <v>ganancias_modelosrolling_03_seed4</v>
      </c>
      <c r="P83" s="1">
        <f>SUMIFS(D:D,G:G,O83)</f>
        <v>376000000</v>
      </c>
    </row>
    <row r="84" spans="1:16" x14ac:dyDescent="0.25">
      <c r="A84">
        <v>202106</v>
      </c>
      <c r="B84" t="s">
        <v>56</v>
      </c>
      <c r="C84" t="s">
        <v>109</v>
      </c>
      <c r="D84" s="1">
        <v>379200000</v>
      </c>
      <c r="E84" t="s">
        <v>86</v>
      </c>
      <c r="F84" t="str">
        <f>_xlfn.TEXTBEFORE(E84,"_2021")</f>
        <v>ganancias_modelos</v>
      </c>
      <c r="G84" t="str">
        <f>_xlfn.CONCAT(F84,C84)</f>
        <v>ganancias_modelosrolling_06_seed4</v>
      </c>
      <c r="O84" t="str">
        <v>ganancias_modelosseasonal_q2_seed4</v>
      </c>
      <c r="P84" s="1">
        <f>SUMIFS(D:D,G:G,O84)</f>
        <v>376000000</v>
      </c>
    </row>
    <row r="85" spans="1:16" x14ac:dyDescent="0.25">
      <c r="A85">
        <v>202106</v>
      </c>
      <c r="B85" t="s">
        <v>45</v>
      </c>
      <c r="C85" t="s">
        <v>46</v>
      </c>
      <c r="D85" s="1">
        <v>376800000</v>
      </c>
      <c r="E85" t="s">
        <v>86</v>
      </c>
      <c r="F85" t="str">
        <f>_xlfn.TEXTBEFORE(E85,"_2021")</f>
        <v>ganancias_modelos</v>
      </c>
      <c r="G85" t="str">
        <f>_xlfn.CONCAT(F85,C85)</f>
        <v>ganancias_modelosrolling_01_seed1</v>
      </c>
      <c r="O85" t="str">
        <v>ganancias_modelosmixed_early_02_seed2</v>
      </c>
      <c r="P85" s="1">
        <f>SUMIFS(D:D,G:G,O85)</f>
        <v>376000000</v>
      </c>
    </row>
    <row r="86" spans="1:16" x14ac:dyDescent="0.25">
      <c r="A86">
        <v>202106</v>
      </c>
      <c r="B86" t="s">
        <v>48</v>
      </c>
      <c r="C86" t="s">
        <v>93</v>
      </c>
      <c r="D86" s="1">
        <v>376800000</v>
      </c>
      <c r="E86" t="s">
        <v>86</v>
      </c>
      <c r="F86" t="str">
        <f>_xlfn.TEXTBEFORE(E86,"_2021")</f>
        <v>ganancias_modelos</v>
      </c>
      <c r="G86" t="str">
        <f>_xlfn.CONCAT(F86,C86)</f>
        <v>ganancias_modelosrolling_02_seed4</v>
      </c>
      <c r="O86" t="str">
        <v>ganancias_modelosmixed_early_02_seed4</v>
      </c>
      <c r="P86" s="1">
        <f>SUMIFS(D:D,G:G,O86)</f>
        <v>376000000</v>
      </c>
    </row>
    <row r="87" spans="1:16" x14ac:dyDescent="0.25">
      <c r="A87">
        <v>202106</v>
      </c>
      <c r="B87" t="s">
        <v>50</v>
      </c>
      <c r="C87" t="s">
        <v>95</v>
      </c>
      <c r="D87" s="1">
        <v>376800000</v>
      </c>
      <c r="E87" t="s">
        <v>86</v>
      </c>
      <c r="F87" t="str">
        <f>_xlfn.TEXTBEFORE(E87,"_2021")</f>
        <v>ganancias_modelos</v>
      </c>
      <c r="G87" t="str">
        <f>_xlfn.CONCAT(F87,C87)</f>
        <v>ganancias_modelosrolling_03_seed2</v>
      </c>
      <c r="O87" t="str">
        <v>ganancias_modelosrolling_02_seed5</v>
      </c>
      <c r="P87" s="1">
        <f>SUMIFS(D:D,G:G,O87)</f>
        <v>375200000</v>
      </c>
    </row>
    <row r="88" spans="1:16" x14ac:dyDescent="0.25">
      <c r="A88">
        <v>202106</v>
      </c>
      <c r="B88" t="s">
        <v>50</v>
      </c>
      <c r="C88" t="s">
        <v>98</v>
      </c>
      <c r="D88" s="1">
        <v>376800000</v>
      </c>
      <c r="E88" t="s">
        <v>86</v>
      </c>
      <c r="F88" t="str">
        <f>_xlfn.TEXTBEFORE(E88,"_2021")</f>
        <v>ganancias_modelos</v>
      </c>
      <c r="G88" t="str">
        <f>_xlfn.CONCAT(F88,C88)</f>
        <v>ganancias_modelosrolling_03_seed5</v>
      </c>
      <c r="O88" t="str">
        <v>ganancias_Modelo Final US 0.2 - Uso Meses Corridos y seasonality - Cambio IPC por Percentiles Rank V2june_seed1</v>
      </c>
      <c r="P88" s="1">
        <f>SUMIFS(D:D,G:G,O88)</f>
        <v>374400000</v>
      </c>
    </row>
    <row r="89" spans="1:16" x14ac:dyDescent="0.25">
      <c r="A89">
        <v>202106</v>
      </c>
      <c r="B89" t="s">
        <v>72</v>
      </c>
      <c r="C89" t="s">
        <v>73</v>
      </c>
      <c r="D89" s="1">
        <v>376800000</v>
      </c>
      <c r="E89" t="s">
        <v>86</v>
      </c>
      <c r="F89" t="str">
        <f>_xlfn.TEXTBEFORE(E89,"_2021")</f>
        <v>ganancias_modelos</v>
      </c>
      <c r="G89" t="str">
        <f>_xlfn.CONCAT(F89,C89)</f>
        <v>ganancias_modelosseasonal_q2_seed1</v>
      </c>
      <c r="O89" t="str">
        <v>ganancias_Modelo Final US 0.2 - Uso Meses Corridos y seasonality - Cambio IPC por Percentiles Rank V2june_seed3</v>
      </c>
      <c r="P89" s="1">
        <f>SUMIFS(D:D,G:G,O89)</f>
        <v>374400000</v>
      </c>
    </row>
    <row r="90" spans="1:16" x14ac:dyDescent="0.25">
      <c r="A90">
        <v>202106</v>
      </c>
      <c r="B90" t="s">
        <v>50</v>
      </c>
      <c r="C90" t="s">
        <v>97</v>
      </c>
      <c r="D90" s="1">
        <v>376000000</v>
      </c>
      <c r="E90" t="s">
        <v>86</v>
      </c>
      <c r="F90" t="str">
        <f>_xlfn.TEXTBEFORE(E90,"_2021")</f>
        <v>ganancias_modelos</v>
      </c>
      <c r="G90" t="str">
        <f>_xlfn.CONCAT(F90,C90)</f>
        <v>ganancias_modelosrolling_03_seed4</v>
      </c>
      <c r="O90" t="str">
        <v>ganancias_modelosrolling_01_seed4</v>
      </c>
      <c r="P90" s="1">
        <f>SUMIFS(D:D,G:G,O90)</f>
        <v>374400000</v>
      </c>
    </row>
    <row r="91" spans="1:16" x14ac:dyDescent="0.25">
      <c r="A91">
        <v>202106</v>
      </c>
      <c r="B91" t="s">
        <v>72</v>
      </c>
      <c r="C91" t="s">
        <v>141</v>
      </c>
      <c r="D91" s="1">
        <v>376000000</v>
      </c>
      <c r="E91" t="s">
        <v>86</v>
      </c>
      <c r="F91" t="str">
        <f>_xlfn.TEXTBEFORE(E91,"_2021")</f>
        <v>ganancias_modelos</v>
      </c>
      <c r="G91" t="str">
        <f>_xlfn.CONCAT(F91,C91)</f>
        <v>ganancias_modelosseasonal_q2_seed4</v>
      </c>
      <c r="O91" t="str">
        <v>ganancias_modelosseasonal_winter_seed4</v>
      </c>
      <c r="P91" s="1">
        <f>SUMIFS(D:D,G:G,O91)</f>
        <v>372800000</v>
      </c>
    </row>
    <row r="92" spans="1:16" x14ac:dyDescent="0.25">
      <c r="A92">
        <v>202106</v>
      </c>
      <c r="B92" t="s">
        <v>80</v>
      </c>
      <c r="C92" t="s">
        <v>155</v>
      </c>
      <c r="D92" s="1">
        <v>376000000</v>
      </c>
      <c r="E92" t="s">
        <v>86</v>
      </c>
      <c r="F92" t="str">
        <f>_xlfn.TEXTBEFORE(E92,"_2021")</f>
        <v>ganancias_modelos</v>
      </c>
      <c r="G92" t="str">
        <f>_xlfn.CONCAT(F92,C92)</f>
        <v>ganancias_modelosmixed_early_02_seed2</v>
      </c>
      <c r="O92" t="str">
        <v>ganancias_Modelo Final US 0.2 - Uso Meses Corridos V2final_training_june_seed1</v>
      </c>
      <c r="P92" s="1">
        <f>SUMIFS(D:D,G:G,O92)</f>
        <v>372000000</v>
      </c>
    </row>
    <row r="93" spans="1:16" x14ac:dyDescent="0.25">
      <c r="A93">
        <v>202106</v>
      </c>
      <c r="B93" t="s">
        <v>80</v>
      </c>
      <c r="C93" t="s">
        <v>157</v>
      </c>
      <c r="D93" s="1">
        <v>376000000</v>
      </c>
      <c r="E93" t="s">
        <v>86</v>
      </c>
      <c r="F93" t="str">
        <f>_xlfn.TEXTBEFORE(E93,"_2021")</f>
        <v>ganancias_modelos</v>
      </c>
      <c r="G93" t="str">
        <f>_xlfn.CONCAT(F93,C93)</f>
        <v>ganancias_modelosmixed_early_02_seed4</v>
      </c>
      <c r="O93" t="str">
        <v>ganancias_Modelo Final US 0.2 - Uso Meses Corridos V2final_training_june_seed4</v>
      </c>
      <c r="P93" s="1">
        <f>SUMIFS(D:D,G:G,O93)</f>
        <v>372000000</v>
      </c>
    </row>
    <row r="94" spans="1:16" x14ac:dyDescent="0.25">
      <c r="A94">
        <v>202106</v>
      </c>
      <c r="B94" t="s">
        <v>48</v>
      </c>
      <c r="C94" t="s">
        <v>94</v>
      </c>
      <c r="D94" s="1">
        <v>375200000</v>
      </c>
      <c r="E94" t="s">
        <v>86</v>
      </c>
      <c r="F94" t="str">
        <f>_xlfn.TEXTBEFORE(E94,"_2021")</f>
        <v>ganancias_modelos</v>
      </c>
      <c r="G94" t="str">
        <f>_xlfn.CONCAT(F94,C94)</f>
        <v>ganancias_modelosrolling_02_seed5</v>
      </c>
      <c r="O94" t="str">
        <v>ganancias_modelosseasonal_end_of_year_seed4</v>
      </c>
      <c r="P94" s="1">
        <f>SUMIFS(D:D,G:G,O94)</f>
        <v>372000000</v>
      </c>
    </row>
    <row r="95" spans="1:16" x14ac:dyDescent="0.25">
      <c r="A95">
        <v>202106</v>
      </c>
      <c r="B95" t="s">
        <v>16</v>
      </c>
      <c r="C95" t="s">
        <v>17</v>
      </c>
      <c r="D95" s="1">
        <v>374400000</v>
      </c>
      <c r="E95" t="s">
        <v>44</v>
      </c>
      <c r="F95" t="str">
        <f>_xlfn.TEXTBEFORE(E95,"_2021")</f>
        <v>ganancias_Modelo Final US 0.2 - Uso Meses Corridos y seasonality - Cambio IPC por Percentiles Rank V2</v>
      </c>
      <c r="G95" t="str">
        <f>_xlfn.CONCAT(F95,C95)</f>
        <v>ganancias_Modelo Final US 0.2 - Uso Meses Corridos y seasonality - Cambio IPC por Percentiles Rank V2june_seed1</v>
      </c>
      <c r="O95" t="str">
        <v>ganancias_Modelo Final US 0.2 - Uso Meses Corridos y seasonality - Cambio IPC por Percentiles Rank V2june_seed4</v>
      </c>
      <c r="P95" s="1">
        <f>SUMIFS(D:D,G:G,O95)</f>
        <v>371200000</v>
      </c>
    </row>
    <row r="96" spans="1:16" x14ac:dyDescent="0.25">
      <c r="A96">
        <v>202106</v>
      </c>
      <c r="B96" t="s">
        <v>16</v>
      </c>
      <c r="C96" t="s">
        <v>20</v>
      </c>
      <c r="D96" s="1">
        <v>374400000</v>
      </c>
      <c r="E96" t="s">
        <v>44</v>
      </c>
      <c r="F96" t="str">
        <f>_xlfn.TEXTBEFORE(E96,"_2021")</f>
        <v>ganancias_Modelo Final US 0.2 - Uso Meses Corridos y seasonality - Cambio IPC por Percentiles Rank V2</v>
      </c>
      <c r="G96" t="str">
        <f>_xlfn.CONCAT(F96,C96)</f>
        <v>ganancias_Modelo Final US 0.2 - Uso Meses Corridos y seasonality - Cambio IPC por Percentiles Rank V2june_seed3</v>
      </c>
      <c r="O96" t="str">
        <v>ganancias_modelosseasonal_winter_seed3</v>
      </c>
      <c r="P96" s="1">
        <f>SUMIFS(D:D,G:G,O96)</f>
        <v>371200000</v>
      </c>
    </row>
    <row r="97" spans="1:16" x14ac:dyDescent="0.25">
      <c r="A97">
        <v>202106</v>
      </c>
      <c r="B97" t="s">
        <v>45</v>
      </c>
      <c r="C97" t="s">
        <v>89</v>
      </c>
      <c r="D97" s="1">
        <v>374400000</v>
      </c>
      <c r="E97" t="s">
        <v>86</v>
      </c>
      <c r="F97" t="str">
        <f>_xlfn.TEXTBEFORE(E97,"_2021")</f>
        <v>ganancias_modelos</v>
      </c>
      <c r="G97" t="str">
        <f>_xlfn.CONCAT(F97,C97)</f>
        <v>ganancias_modelosrolling_01_seed4</v>
      </c>
      <c r="O97" t="str">
        <v>ganancias_modelosseasonal_end_of_year_seed5</v>
      </c>
      <c r="P97" s="1">
        <f>SUMIFS(D:D,G:G,O97)</f>
        <v>371200000</v>
      </c>
    </row>
    <row r="98" spans="1:16" x14ac:dyDescent="0.25">
      <c r="A98">
        <v>202106</v>
      </c>
      <c r="B98" t="s">
        <v>64</v>
      </c>
      <c r="C98" t="s">
        <v>65</v>
      </c>
      <c r="D98" s="1">
        <v>372800000</v>
      </c>
      <c r="E98" t="s">
        <v>86</v>
      </c>
      <c r="F98" t="str">
        <f>_xlfn.TEXTBEFORE(E98,"_2021")</f>
        <v>ganancias_modelos</v>
      </c>
      <c r="G98" t="str">
        <f>_xlfn.CONCAT(F98,C98)</f>
        <v>ganancias_modelosseasonal_winter_seed1</v>
      </c>
      <c r="O98" t="str">
        <v>ganancias_modelosseasonal_q2_seed2</v>
      </c>
      <c r="P98" s="1">
        <f>SUMIFS(D:D,G:G,O98)</f>
        <v>371200000</v>
      </c>
    </row>
    <row r="99" spans="1:16" x14ac:dyDescent="0.25">
      <c r="A99">
        <v>202106</v>
      </c>
      <c r="B99" t="s">
        <v>64</v>
      </c>
      <c r="C99" t="s">
        <v>125</v>
      </c>
      <c r="D99" s="1">
        <v>372800000</v>
      </c>
      <c r="E99" t="s">
        <v>86</v>
      </c>
      <c r="F99" t="str">
        <f>_xlfn.TEXTBEFORE(E99,"_2021")</f>
        <v>ganancias_modelos</v>
      </c>
      <c r="G99" t="str">
        <f>_xlfn.CONCAT(F99,C99)</f>
        <v>ganancias_modelosseasonal_winter_seed4</v>
      </c>
      <c r="O99" t="str">
        <v>ganancias_modelosmixed_early_01_seed3</v>
      </c>
      <c r="P99" s="1">
        <f>SUMIFS(D:D,G:G,O99)</f>
        <v>371200000</v>
      </c>
    </row>
    <row r="100" spans="1:16" x14ac:dyDescent="0.25">
      <c r="A100">
        <v>202106</v>
      </c>
      <c r="B100" t="s">
        <v>30</v>
      </c>
      <c r="C100" t="s">
        <v>31</v>
      </c>
      <c r="D100" s="1">
        <v>372000000</v>
      </c>
      <c r="E100" t="s">
        <v>38</v>
      </c>
      <c r="F100" t="str">
        <f>_xlfn.TEXTBEFORE(E100,"_2021")</f>
        <v>ganancias_Modelo Final US 0.2 - Uso Meses Corridos V2</v>
      </c>
      <c r="G100" t="str">
        <f>_xlfn.CONCAT(F100,C100)</f>
        <v>ganancias_Modelo Final US 0.2 - Uso Meses Corridos V2final_training_june_seed1</v>
      </c>
      <c r="O100" t="str">
        <v>ganancias_modelosrolling_01_seed2</v>
      </c>
      <c r="P100" s="1">
        <f>SUMIFS(D:D,G:G,O100)</f>
        <v>370400000</v>
      </c>
    </row>
    <row r="101" spans="1:16" x14ac:dyDescent="0.25">
      <c r="A101">
        <v>202106</v>
      </c>
      <c r="B101" t="s">
        <v>30</v>
      </c>
      <c r="C101" t="s">
        <v>35</v>
      </c>
      <c r="D101" s="1">
        <v>372000000</v>
      </c>
      <c r="E101" t="s">
        <v>38</v>
      </c>
      <c r="F101" t="str">
        <f>_xlfn.TEXTBEFORE(E101,"_2021")</f>
        <v>ganancias_Modelo Final US 0.2 - Uso Meses Corridos V2</v>
      </c>
      <c r="G101" t="str">
        <f>_xlfn.CONCAT(F101,C101)</f>
        <v>ganancias_Modelo Final US 0.2 - Uso Meses Corridos V2final_training_june_seed4</v>
      </c>
      <c r="O101" t="str">
        <v>ganancias_modelosseasonal_summer_seed2</v>
      </c>
      <c r="P101" s="1">
        <f>SUMIFS(D:D,G:G,O101)</f>
        <v>370400000</v>
      </c>
    </row>
    <row r="102" spans="1:16" x14ac:dyDescent="0.25">
      <c r="A102">
        <v>202106</v>
      </c>
      <c r="B102" t="s">
        <v>68</v>
      </c>
      <c r="C102" t="s">
        <v>133</v>
      </c>
      <c r="D102" s="1">
        <v>372000000</v>
      </c>
      <c r="E102" t="s">
        <v>86</v>
      </c>
      <c r="F102" t="str">
        <f>_xlfn.TEXTBEFORE(E102,"_2021")</f>
        <v>ganancias_modelos</v>
      </c>
      <c r="G102" t="str">
        <f>_xlfn.CONCAT(F102,C102)</f>
        <v>ganancias_modelosseasonal_end_of_year_seed4</v>
      </c>
      <c r="O102" t="str">
        <v>ganancias_Modelo Final US 0.2 - Uso Meses Corridos V2 - Saco los CTRL Adicionalesfinal_training_june_seed4</v>
      </c>
      <c r="P102" s="1">
        <f>SUMIFS(D:D,G:G,O102)</f>
        <v>369600000</v>
      </c>
    </row>
    <row r="103" spans="1:16" x14ac:dyDescent="0.25">
      <c r="A103">
        <v>202106</v>
      </c>
      <c r="B103" t="s">
        <v>16</v>
      </c>
      <c r="C103" t="s">
        <v>21</v>
      </c>
      <c r="D103" s="1">
        <v>371200000</v>
      </c>
      <c r="E103" t="s">
        <v>44</v>
      </c>
      <c r="F103" t="str">
        <f>_xlfn.TEXTBEFORE(E103,"_2021")</f>
        <v>ganancias_Modelo Final US 0.2 - Uso Meses Corridos y seasonality - Cambio IPC por Percentiles Rank V2</v>
      </c>
      <c r="G103" t="str">
        <f>_xlfn.CONCAT(F103,C103)</f>
        <v>ganancias_Modelo Final US 0.2 - Uso Meses Corridos y seasonality - Cambio IPC por Percentiles Rank V2june_seed4</v>
      </c>
      <c r="O103" t="str">
        <v>ganancias_modelosrolling_02_seed3</v>
      </c>
      <c r="P103" s="1">
        <f>SUMIFS(D:D,G:G,O103)</f>
        <v>369600000</v>
      </c>
    </row>
    <row r="104" spans="1:16" x14ac:dyDescent="0.25">
      <c r="A104">
        <v>202106</v>
      </c>
      <c r="B104" t="s">
        <v>64</v>
      </c>
      <c r="C104" t="s">
        <v>124</v>
      </c>
      <c r="D104" s="1">
        <v>371200000</v>
      </c>
      <c r="E104" t="s">
        <v>86</v>
      </c>
      <c r="F104" t="str">
        <f>_xlfn.TEXTBEFORE(E104,"_2021")</f>
        <v>ganancias_modelos</v>
      </c>
      <c r="G104" t="str">
        <f>_xlfn.CONCAT(F104,C104)</f>
        <v>ganancias_modelosseasonal_winter_seed3</v>
      </c>
      <c r="O104" t="str">
        <v>ganancias_modelosseasonal_winter_seed2</v>
      </c>
      <c r="P104" s="1">
        <f>SUMIFS(D:D,G:G,O104)</f>
        <v>369600000</v>
      </c>
    </row>
    <row r="105" spans="1:16" x14ac:dyDescent="0.25">
      <c r="A105">
        <v>202106</v>
      </c>
      <c r="B105" t="s">
        <v>68</v>
      </c>
      <c r="C105" t="s">
        <v>134</v>
      </c>
      <c r="D105" s="1">
        <v>371200000</v>
      </c>
      <c r="E105" t="s">
        <v>86</v>
      </c>
      <c r="F105" t="str">
        <f>_xlfn.TEXTBEFORE(E105,"_2021")</f>
        <v>ganancias_modelos</v>
      </c>
      <c r="G105" t="str">
        <f>_xlfn.CONCAT(F105,C105)</f>
        <v>ganancias_modelosseasonal_end_of_year_seed5</v>
      </c>
      <c r="O105" t="str">
        <v>ganancias_modelosseasonal_summer_seed3</v>
      </c>
      <c r="P105" s="1">
        <f>SUMIFS(D:D,G:G,O105)</f>
        <v>368800000</v>
      </c>
    </row>
    <row r="106" spans="1:16" x14ac:dyDescent="0.25">
      <c r="A106">
        <v>202106</v>
      </c>
      <c r="B106" t="s">
        <v>72</v>
      </c>
      <c r="C106" t="s">
        <v>139</v>
      </c>
      <c r="D106" s="1">
        <v>371200000</v>
      </c>
      <c r="E106" t="s">
        <v>86</v>
      </c>
      <c r="F106" t="str">
        <f>_xlfn.TEXTBEFORE(E106,"_2021")</f>
        <v>ganancias_modelos</v>
      </c>
      <c r="G106" t="str">
        <f>_xlfn.CONCAT(F106,C106)</f>
        <v>ganancias_modelosseasonal_q2_seed2</v>
      </c>
      <c r="O106" t="str">
        <v>ganancias_modelosrolling_02_seed2</v>
      </c>
      <c r="P106" s="1">
        <f>SUMIFS(D:D,G:G,O106)</f>
        <v>368000000</v>
      </c>
    </row>
    <row r="107" spans="1:16" x14ac:dyDescent="0.25">
      <c r="A107">
        <v>202106</v>
      </c>
      <c r="B107" t="s">
        <v>78</v>
      </c>
      <c r="C107" t="s">
        <v>152</v>
      </c>
      <c r="D107" s="1">
        <v>371200000</v>
      </c>
      <c r="E107" t="s">
        <v>86</v>
      </c>
      <c r="F107" t="str">
        <f>_xlfn.TEXTBEFORE(E107,"_2021")</f>
        <v>ganancias_modelos</v>
      </c>
      <c r="G107" t="str">
        <f>_xlfn.CONCAT(F107,C107)</f>
        <v>ganancias_modelosmixed_early_01_seed3</v>
      </c>
      <c r="O107" t="str">
        <v>ganancias_modelosseasonal_winter_seed5</v>
      </c>
      <c r="P107" s="1">
        <f>SUMIFS(D:D,G:G,O107)</f>
        <v>368000000</v>
      </c>
    </row>
    <row r="108" spans="1:16" x14ac:dyDescent="0.25">
      <c r="A108">
        <v>202106</v>
      </c>
      <c r="B108" t="s">
        <v>45</v>
      </c>
      <c r="C108" t="s">
        <v>87</v>
      </c>
      <c r="D108" s="1">
        <v>370400000</v>
      </c>
      <c r="E108" t="s">
        <v>86</v>
      </c>
      <c r="F108" t="str">
        <f>_xlfn.TEXTBEFORE(E108,"_2021")</f>
        <v>ganancias_modelos</v>
      </c>
      <c r="G108" t="str">
        <f>_xlfn.CONCAT(F108,C108)</f>
        <v>ganancias_modelosrolling_01_seed2</v>
      </c>
      <c r="O108" t="str">
        <v>ganancias_modelosmixed_early_01_seed4</v>
      </c>
      <c r="P108" s="1">
        <f>SUMIFS(D:D,G:G,O108)</f>
        <v>368000000</v>
      </c>
    </row>
    <row r="109" spans="1:16" x14ac:dyDescent="0.25">
      <c r="A109">
        <v>202106</v>
      </c>
      <c r="B109" t="s">
        <v>60</v>
      </c>
      <c r="C109" t="s">
        <v>115</v>
      </c>
      <c r="D109" s="1">
        <v>370400000</v>
      </c>
      <c r="E109" t="s">
        <v>86</v>
      </c>
      <c r="F109" t="str">
        <f>_xlfn.TEXTBEFORE(E109,"_2021")</f>
        <v>ganancias_modelos</v>
      </c>
      <c r="G109" t="str">
        <f>_xlfn.CONCAT(F109,C109)</f>
        <v>ganancias_modelosseasonal_summer_seed2</v>
      </c>
      <c r="O109" t="str">
        <v>ganancias_Modelo Final US 0.2 - Uso Meses Corridos V2 - Saco los CTRL Adicionalesfinal_training_june_seed1</v>
      </c>
      <c r="P109" s="1">
        <f>SUMIFS(D:D,G:G,O109)</f>
        <v>367200000</v>
      </c>
    </row>
    <row r="110" spans="1:16" x14ac:dyDescent="0.25">
      <c r="A110">
        <v>202106</v>
      </c>
      <c r="B110" t="s">
        <v>70</v>
      </c>
      <c r="C110" t="s">
        <v>71</v>
      </c>
      <c r="D110" s="1">
        <v>370400000</v>
      </c>
      <c r="E110" t="s">
        <v>86</v>
      </c>
      <c r="F110" t="str">
        <f>_xlfn.TEXTBEFORE(E110,"_2021")</f>
        <v>ganancias_modelos</v>
      </c>
      <c r="G110" t="str">
        <f>_xlfn.CONCAT(F110,C110)</f>
        <v>ganancias_modelosseasonal_q1_seed1</v>
      </c>
      <c r="O110" t="str">
        <v>ganancias_modelosrolling_03_seed3</v>
      </c>
      <c r="P110" s="1">
        <f>SUMIFS(D:D,G:G,O110)</f>
        <v>367200000</v>
      </c>
    </row>
    <row r="111" spans="1:16" x14ac:dyDescent="0.25">
      <c r="A111">
        <v>202106</v>
      </c>
      <c r="B111" t="s">
        <v>78</v>
      </c>
      <c r="C111" t="s">
        <v>79</v>
      </c>
      <c r="D111" s="1">
        <v>370400000</v>
      </c>
      <c r="E111" t="s">
        <v>86</v>
      </c>
      <c r="F111" t="str">
        <f>_xlfn.TEXTBEFORE(E111,"_2021")</f>
        <v>ganancias_modelos</v>
      </c>
      <c r="G111" t="str">
        <f>_xlfn.CONCAT(F111,C111)</f>
        <v>ganancias_modelosmixed_early_01_seed1</v>
      </c>
      <c r="O111" t="str">
        <v>ganancias_modelosseasonal_end_of_year_seed2</v>
      </c>
      <c r="P111" s="1">
        <f>SUMIFS(D:D,G:G,O111)</f>
        <v>366400000</v>
      </c>
    </row>
    <row r="112" spans="1:16" x14ac:dyDescent="0.25">
      <c r="A112">
        <v>202106</v>
      </c>
      <c r="B112" t="s">
        <v>30</v>
      </c>
      <c r="C112" t="s">
        <v>35</v>
      </c>
      <c r="D112" s="1">
        <v>369600000</v>
      </c>
      <c r="E112" t="s">
        <v>32</v>
      </c>
      <c r="F112" t="str">
        <f>_xlfn.TEXTBEFORE(E112,"_2021")</f>
        <v>ganancias_Modelo Final US 0.2 - Uso Meses Corridos V2 - Saco los CTRL Adicionales</v>
      </c>
      <c r="G112" t="str">
        <f>_xlfn.CONCAT(F112,C112)</f>
        <v>ganancias_Modelo Final US 0.2 - Uso Meses Corridos V2 - Saco los CTRL Adicionalesfinal_training_june_seed4</v>
      </c>
      <c r="O112" t="str">
        <v>ganancias_Modelo Final US 0.2 - Uso Meses Corridos V2final_training_june_seed5</v>
      </c>
      <c r="P112" s="1">
        <f>SUMIFS(D:D,G:G,O112)</f>
        <v>364800000</v>
      </c>
    </row>
    <row r="113" spans="1:16" x14ac:dyDescent="0.25">
      <c r="A113">
        <v>202106</v>
      </c>
      <c r="B113" t="s">
        <v>12</v>
      </c>
      <c r="C113" t="s">
        <v>13</v>
      </c>
      <c r="D113" s="1">
        <v>369600000</v>
      </c>
      <c r="E113" t="s">
        <v>44</v>
      </c>
      <c r="F113" t="str">
        <f>_xlfn.TEXTBEFORE(E113,"_2021")</f>
        <v>ganancias_Modelo Final US 0.2 - Uso Meses Corridos y seasonality - Cambio IPC por Percentiles Rank V2</v>
      </c>
      <c r="G113" t="str">
        <f>_xlfn.CONCAT(F113,C113)</f>
        <v>ganancias_Modelo Final US 0.2 - Uso Meses Corridos y seasonality - Cambio IPC por Percentiles Rank V2ensamble_global</v>
      </c>
      <c r="O113" t="str">
        <v>ganancias_modelosseasonal_q1_seed4</v>
      </c>
      <c r="P113" s="1">
        <f>SUMIFS(D:D,G:G,O113)</f>
        <v>364800000</v>
      </c>
    </row>
    <row r="114" spans="1:16" x14ac:dyDescent="0.25">
      <c r="A114">
        <v>202106</v>
      </c>
      <c r="B114" t="s">
        <v>14</v>
      </c>
      <c r="C114" t="s">
        <v>15</v>
      </c>
      <c r="D114" s="1">
        <v>369600000</v>
      </c>
      <c r="E114" t="s">
        <v>44</v>
      </c>
      <c r="F114" t="str">
        <f>_xlfn.TEXTBEFORE(E114,"_2021")</f>
        <v>ganancias_Modelo Final US 0.2 - Uso Meses Corridos y seasonality - Cambio IPC por Percentiles Rank V2</v>
      </c>
      <c r="G114" t="str">
        <f>_xlfn.CONCAT(F114,C114)</f>
        <v>ganancias_Modelo Final US 0.2 - Uso Meses Corridos y seasonality - Cambio IPC por Percentiles Rank V2ensamble_grupos</v>
      </c>
      <c r="O114" t="str">
        <v>ganancias_modelosmixed_early_01_seed2</v>
      </c>
      <c r="P114" s="1">
        <f>SUMIFS(D:D,G:G,O114)</f>
        <v>364800000</v>
      </c>
    </row>
    <row r="115" spans="1:16" x14ac:dyDescent="0.25">
      <c r="A115">
        <v>202106</v>
      </c>
      <c r="B115" t="s">
        <v>48</v>
      </c>
      <c r="C115" t="s">
        <v>92</v>
      </c>
      <c r="D115" s="1">
        <v>369600000</v>
      </c>
      <c r="E115" t="s">
        <v>86</v>
      </c>
      <c r="F115" t="str">
        <f>_xlfn.TEXTBEFORE(E115,"_2021")</f>
        <v>ganancias_modelos</v>
      </c>
      <c r="G115" t="str">
        <f>_xlfn.CONCAT(F115,C115)</f>
        <v>ganancias_modelosrolling_02_seed3</v>
      </c>
      <c r="O115" t="str">
        <v>ganancias_Modelo Final US 0.2 - Uso Meses Corridos y seasonality - Cambio IPC por Percentiles Rank V2june_seed5</v>
      </c>
      <c r="P115" s="1">
        <f>SUMIFS(D:D,G:G,O115)</f>
        <v>363200000</v>
      </c>
    </row>
    <row r="116" spans="1:16" x14ac:dyDescent="0.25">
      <c r="A116">
        <v>202106</v>
      </c>
      <c r="B116" t="s">
        <v>64</v>
      </c>
      <c r="C116" t="s">
        <v>123</v>
      </c>
      <c r="D116" s="1">
        <v>369600000</v>
      </c>
      <c r="E116" t="s">
        <v>86</v>
      </c>
      <c r="F116" t="str">
        <f>_xlfn.TEXTBEFORE(E116,"_2021")</f>
        <v>ganancias_modelos</v>
      </c>
      <c r="G116" t="str">
        <f>_xlfn.CONCAT(F116,C116)</f>
        <v>ganancias_modelosseasonal_winter_seed2</v>
      </c>
      <c r="O116" t="str">
        <v>ganancias_Modelo Final US 0.2 - Uso Meses Corridos V2 - Saco los CTRL Adicionalesfinal_training_june_seed2</v>
      </c>
      <c r="P116" s="1">
        <f>SUMIFS(D:D,G:G,O116)</f>
        <v>362400000</v>
      </c>
    </row>
    <row r="117" spans="1:16" x14ac:dyDescent="0.25">
      <c r="A117">
        <v>202106</v>
      </c>
      <c r="B117" t="s">
        <v>50</v>
      </c>
      <c r="C117" t="s">
        <v>51</v>
      </c>
      <c r="D117" s="1">
        <v>368800000</v>
      </c>
      <c r="E117" t="s">
        <v>86</v>
      </c>
      <c r="F117" t="str">
        <f>_xlfn.TEXTBEFORE(E117,"_2021")</f>
        <v>ganancias_modelos</v>
      </c>
      <c r="G117" t="str">
        <f>_xlfn.CONCAT(F117,C117)</f>
        <v>ganancias_modelosrolling_03_seed1</v>
      </c>
      <c r="O117" t="str">
        <v>ganancias_Modelo Final US 0.2 - Uso Meses Corridos V2 - Saco los CTRL Adicionalesfinal_training_june_seed5</v>
      </c>
      <c r="P117" s="1">
        <f>SUMIFS(D:D,G:G,O117)</f>
        <v>362400000</v>
      </c>
    </row>
    <row r="118" spans="1:16" x14ac:dyDescent="0.25">
      <c r="A118">
        <v>202106</v>
      </c>
      <c r="B118" t="s">
        <v>60</v>
      </c>
      <c r="C118" t="s">
        <v>116</v>
      </c>
      <c r="D118" s="1">
        <v>368800000</v>
      </c>
      <c r="E118" t="s">
        <v>86</v>
      </c>
      <c r="F118" t="str">
        <f>_xlfn.TEXTBEFORE(E118,"_2021")</f>
        <v>ganancias_modelos</v>
      </c>
      <c r="G118" t="str">
        <f>_xlfn.CONCAT(F118,C118)</f>
        <v>ganancias_modelosseasonal_summer_seed3</v>
      </c>
      <c r="O118" t="str">
        <v>ganancias_modelosrolling_05_seed3</v>
      </c>
      <c r="P118" s="1">
        <f>SUMIFS(D:D,G:G,O118)</f>
        <v>362400000</v>
      </c>
    </row>
    <row r="119" spans="1:16" x14ac:dyDescent="0.25">
      <c r="A119">
        <v>202106</v>
      </c>
      <c r="B119" t="s">
        <v>48</v>
      </c>
      <c r="C119" t="s">
        <v>91</v>
      </c>
      <c r="D119" s="1">
        <v>368000000</v>
      </c>
      <c r="E119" t="s">
        <v>86</v>
      </c>
      <c r="F119" t="str">
        <f>_xlfn.TEXTBEFORE(E119,"_2021")</f>
        <v>ganancias_modelos</v>
      </c>
      <c r="G119" t="str">
        <f>_xlfn.CONCAT(F119,C119)</f>
        <v>ganancias_modelosrolling_02_seed2</v>
      </c>
      <c r="O119" t="str">
        <v>ganancias_modelosmixed_full_year_seed2</v>
      </c>
      <c r="P119" s="1">
        <f>SUMIFS(D:D,G:G,O119)</f>
        <v>361600000</v>
      </c>
    </row>
    <row r="120" spans="1:16" x14ac:dyDescent="0.25">
      <c r="A120">
        <v>202106</v>
      </c>
      <c r="B120" t="s">
        <v>64</v>
      </c>
      <c r="C120" t="s">
        <v>126</v>
      </c>
      <c r="D120" s="1">
        <v>368000000</v>
      </c>
      <c r="E120" t="s">
        <v>86</v>
      </c>
      <c r="F120" t="str">
        <f>_xlfn.TEXTBEFORE(E120,"_2021")</f>
        <v>ganancias_modelos</v>
      </c>
      <c r="G120" t="str">
        <f>_xlfn.CONCAT(F120,C120)</f>
        <v>ganancias_modelosseasonal_winter_seed5</v>
      </c>
      <c r="O120" t="str">
        <v>ganancias_Modelo Final US 0.2 - Uso Meses Corridos V2 - Saco los CTRL Adicionalesfinal_training_june_seed3</v>
      </c>
      <c r="P120" s="1">
        <f>SUMIFS(D:D,G:G,O120)</f>
        <v>360000000</v>
      </c>
    </row>
    <row r="121" spans="1:16" x14ac:dyDescent="0.25">
      <c r="A121">
        <v>202106</v>
      </c>
      <c r="B121" t="s">
        <v>68</v>
      </c>
      <c r="C121" t="s">
        <v>69</v>
      </c>
      <c r="D121" s="1">
        <v>368000000</v>
      </c>
      <c r="E121" t="s">
        <v>86</v>
      </c>
      <c r="F121" t="str">
        <f>_xlfn.TEXTBEFORE(E121,"_2021")</f>
        <v>ganancias_modelos</v>
      </c>
      <c r="G121" t="str">
        <f>_xlfn.CONCAT(F121,C121)</f>
        <v>ganancias_modelosseasonal_end_of_year_seed1</v>
      </c>
      <c r="O121" t="str">
        <v>ganancias_Modelo Final US 0.2 - Uso Meses Corridos y seasonality - Cambio IPC por Percentiles Rank V2june_seed2</v>
      </c>
      <c r="P121" s="1">
        <f>SUMIFS(D:D,G:G,O121)</f>
        <v>360000000</v>
      </c>
    </row>
    <row r="122" spans="1:16" x14ac:dyDescent="0.25">
      <c r="A122">
        <v>202106</v>
      </c>
      <c r="B122" t="s">
        <v>78</v>
      </c>
      <c r="C122" t="s">
        <v>153</v>
      </c>
      <c r="D122" s="1">
        <v>368000000</v>
      </c>
      <c r="E122" t="s">
        <v>86</v>
      </c>
      <c r="F122" t="str">
        <f>_xlfn.TEXTBEFORE(E122,"_2021")</f>
        <v>ganancias_modelos</v>
      </c>
      <c r="G122" t="str">
        <f>_xlfn.CONCAT(F122,C122)</f>
        <v>ganancias_modelosmixed_early_01_seed4</v>
      </c>
      <c r="O122" t="str">
        <v>ganancias_modelosmixed_early_01_seed5</v>
      </c>
      <c r="P122" s="1">
        <f>SUMIFS(D:D,G:G,O122)</f>
        <v>360000000</v>
      </c>
    </row>
    <row r="123" spans="1:16" x14ac:dyDescent="0.25">
      <c r="A123">
        <v>202106</v>
      </c>
      <c r="B123" t="s">
        <v>30</v>
      </c>
      <c r="C123" t="s">
        <v>31</v>
      </c>
      <c r="D123" s="1">
        <v>367200000</v>
      </c>
      <c r="E123" t="s">
        <v>32</v>
      </c>
      <c r="F123" t="str">
        <f>_xlfn.TEXTBEFORE(E123,"_2021")</f>
        <v>ganancias_Modelo Final US 0.2 - Uso Meses Corridos V2 - Saco los CTRL Adicionales</v>
      </c>
      <c r="G123" t="str">
        <f>_xlfn.CONCAT(F123,C123)</f>
        <v>ganancias_Modelo Final US 0.2 - Uso Meses Corridos V2 - Saco los CTRL Adicionalesfinal_training_june_seed1</v>
      </c>
      <c r="O123" t="str">
        <v>ganancias_modelosmixed_transition_seed3</v>
      </c>
      <c r="P123" s="1">
        <f>SUMIFS(D:D,G:G,O123)</f>
        <v>359200000</v>
      </c>
    </row>
    <row r="124" spans="1:16" x14ac:dyDescent="0.25">
      <c r="A124">
        <v>202106</v>
      </c>
      <c r="B124" t="s">
        <v>50</v>
      </c>
      <c r="C124" t="s">
        <v>96</v>
      </c>
      <c r="D124" s="1">
        <v>367200000</v>
      </c>
      <c r="E124" t="s">
        <v>86</v>
      </c>
      <c r="F124" t="str">
        <f>_xlfn.TEXTBEFORE(E124,"_2021")</f>
        <v>ganancias_modelos</v>
      </c>
      <c r="G124" t="str">
        <f>_xlfn.CONCAT(F124,C124)</f>
        <v>ganancias_modelosrolling_03_seed3</v>
      </c>
      <c r="O124" t="str">
        <v>ganancias_modelosseasonal_spring_seed4</v>
      </c>
      <c r="P124" s="1">
        <f>SUMIFS(D:D,G:G,O124)</f>
        <v>358400000</v>
      </c>
    </row>
    <row r="125" spans="1:16" x14ac:dyDescent="0.25">
      <c r="A125">
        <v>202106</v>
      </c>
      <c r="B125" t="s">
        <v>68</v>
      </c>
      <c r="C125" t="s">
        <v>131</v>
      </c>
      <c r="D125" s="1">
        <v>366400000</v>
      </c>
      <c r="E125" t="s">
        <v>86</v>
      </c>
      <c r="F125" t="str">
        <f>_xlfn.TEXTBEFORE(E125,"_2021")</f>
        <v>ganancias_modelos</v>
      </c>
      <c r="G125" t="str">
        <f>_xlfn.CONCAT(F125,C125)</f>
        <v>ganancias_modelosseasonal_end_of_year_seed2</v>
      </c>
      <c r="O125" t="str">
        <v>ganancias_modelosseasonal_q1_seed2</v>
      </c>
      <c r="P125" s="1">
        <f>SUMIFS(D:D,G:G,O125)</f>
        <v>358400000</v>
      </c>
    </row>
    <row r="126" spans="1:16" x14ac:dyDescent="0.25">
      <c r="A126">
        <v>202106</v>
      </c>
      <c r="B126" t="s">
        <v>82</v>
      </c>
      <c r="C126" t="s">
        <v>83</v>
      </c>
      <c r="D126" s="1">
        <v>366400000</v>
      </c>
      <c r="E126" t="s">
        <v>86</v>
      </c>
      <c r="F126" t="str">
        <f>_xlfn.TEXTBEFORE(E126,"_2021")</f>
        <v>ganancias_modelos</v>
      </c>
      <c r="G126" t="str">
        <f>_xlfn.CONCAT(F126,C126)</f>
        <v>ganancias_modelosmixed_transition_seed1</v>
      </c>
      <c r="O126" t="str">
        <v>ganancias_Modelo Final US 0.2 - Uso Meses Corridos V2final_training_june_seed3</v>
      </c>
      <c r="P126" s="1">
        <f>SUMIFS(D:D,G:G,O126)</f>
        <v>357600000</v>
      </c>
    </row>
    <row r="127" spans="1:16" x14ac:dyDescent="0.25">
      <c r="A127">
        <v>202106</v>
      </c>
      <c r="B127" t="s">
        <v>30</v>
      </c>
      <c r="C127" t="s">
        <v>36</v>
      </c>
      <c r="D127" s="1">
        <v>364800000</v>
      </c>
      <c r="E127" t="s">
        <v>38</v>
      </c>
      <c r="F127" t="str">
        <f>_xlfn.TEXTBEFORE(E127,"_2021")</f>
        <v>ganancias_Modelo Final US 0.2 - Uso Meses Corridos V2</v>
      </c>
      <c r="G127" t="str">
        <f>_xlfn.CONCAT(F127,C127)</f>
        <v>ganancias_Modelo Final US 0.2 - Uso Meses Corridos V2final_training_june_seed5</v>
      </c>
      <c r="O127" t="str">
        <v>ganancias_Modelo Final US 0.2 - Uso Meses Corridos y seasonality - Cambio IPC por Percentiles Rank (200 Percentiles) V2june_seed2</v>
      </c>
      <c r="P127" s="1">
        <f>SUMIFS(D:D,G:G,O127)</f>
        <v>357600000</v>
      </c>
    </row>
    <row r="128" spans="1:16" x14ac:dyDescent="0.25">
      <c r="A128">
        <v>202106</v>
      </c>
      <c r="B128" t="s">
        <v>70</v>
      </c>
      <c r="C128" t="s">
        <v>137</v>
      </c>
      <c r="D128" s="1">
        <v>364800000</v>
      </c>
      <c r="E128" t="s">
        <v>86</v>
      </c>
      <c r="F128" t="str">
        <f>_xlfn.TEXTBEFORE(E128,"_2021")</f>
        <v>ganancias_modelos</v>
      </c>
      <c r="G128" t="str">
        <f>_xlfn.CONCAT(F128,C128)</f>
        <v>ganancias_modelosseasonal_q1_seed4</v>
      </c>
      <c r="O128" t="str">
        <v>ganancias_modelosseasonal_autumn_seed5</v>
      </c>
      <c r="P128" s="1">
        <f>SUMIFS(D:D,G:G,O128)</f>
        <v>357600000</v>
      </c>
    </row>
    <row r="129" spans="1:16" x14ac:dyDescent="0.25">
      <c r="A129">
        <v>202106</v>
      </c>
      <c r="B129" t="s">
        <v>78</v>
      </c>
      <c r="C129" t="s">
        <v>151</v>
      </c>
      <c r="D129" s="1">
        <v>364800000</v>
      </c>
      <c r="E129" t="s">
        <v>86</v>
      </c>
      <c r="F129" t="str">
        <f>_xlfn.TEXTBEFORE(E129,"_2021")</f>
        <v>ganancias_modelos</v>
      </c>
      <c r="G129" t="str">
        <f>_xlfn.CONCAT(F129,C129)</f>
        <v>ganancias_modelosmixed_early_01_seed2</v>
      </c>
      <c r="O129" t="str">
        <v>ganancias_modelosseasonal_spring_seed2</v>
      </c>
      <c r="P129" s="1">
        <f>SUMIFS(D:D,G:G,O129)</f>
        <v>357600000</v>
      </c>
    </row>
    <row r="130" spans="1:16" x14ac:dyDescent="0.25">
      <c r="A130">
        <v>202106</v>
      </c>
      <c r="B130" t="s">
        <v>12</v>
      </c>
      <c r="C130" t="s">
        <v>13</v>
      </c>
      <c r="D130" s="1">
        <v>363200000</v>
      </c>
      <c r="E130" t="s">
        <v>32</v>
      </c>
      <c r="F130" t="str">
        <f>_xlfn.TEXTBEFORE(E130,"_2021")</f>
        <v>ganancias_Modelo Final US 0.2 - Uso Meses Corridos V2 - Saco los CTRL Adicionales</v>
      </c>
      <c r="G130" t="str">
        <f>_xlfn.CONCAT(F130,C130)</f>
        <v>ganancias_Modelo Final US 0.2 - Uso Meses Corridos V2 - Saco los CTRL Adicionalesensamble_global</v>
      </c>
      <c r="O130" t="str">
        <v>ganancias_Modelo Final US 0.2 - Uso Meses Corridos V3 - Agrego a meses viejos seasonalityjune_seed4</v>
      </c>
      <c r="P130" s="1">
        <f>SUMIFS(D:D,G:G,O130)</f>
        <v>356800000</v>
      </c>
    </row>
    <row r="131" spans="1:16" x14ac:dyDescent="0.25">
      <c r="A131">
        <v>202106</v>
      </c>
      <c r="B131" t="s">
        <v>14</v>
      </c>
      <c r="C131" t="s">
        <v>15</v>
      </c>
      <c r="D131" s="1">
        <v>363200000</v>
      </c>
      <c r="E131" t="s">
        <v>32</v>
      </c>
      <c r="F131" t="str">
        <f>_xlfn.TEXTBEFORE(E131,"_2021")</f>
        <v>ganancias_Modelo Final US 0.2 - Uso Meses Corridos V2 - Saco los CTRL Adicionales</v>
      </c>
      <c r="G131" t="str">
        <f>_xlfn.CONCAT(F131,C131)</f>
        <v>ganancias_Modelo Final US 0.2 - Uso Meses Corridos V2 - Saco los CTRL Adicionalesensamble_grupos</v>
      </c>
      <c r="O131" t="str">
        <v>ganancias_modelosmixed_full_year_seed5</v>
      </c>
      <c r="P131" s="1">
        <f>SUMIFS(D:D,G:G,O131)</f>
        <v>356800000</v>
      </c>
    </row>
    <row r="132" spans="1:16" x14ac:dyDescent="0.25">
      <c r="A132">
        <v>202106</v>
      </c>
      <c r="B132" t="s">
        <v>16</v>
      </c>
      <c r="C132" t="s">
        <v>22</v>
      </c>
      <c r="D132" s="1">
        <v>363200000</v>
      </c>
      <c r="E132" t="s">
        <v>44</v>
      </c>
      <c r="F132" t="str">
        <f>_xlfn.TEXTBEFORE(E132,"_2021")</f>
        <v>ganancias_Modelo Final US 0.2 - Uso Meses Corridos y seasonality - Cambio IPC por Percentiles Rank V2</v>
      </c>
      <c r="G132" t="str">
        <f>_xlfn.CONCAT(F132,C132)</f>
        <v>ganancias_Modelo Final US 0.2 - Uso Meses Corridos y seasonality - Cambio IPC por Percentiles Rank V2june_seed5</v>
      </c>
      <c r="O132" t="str">
        <v>ganancias_Modelo Final US 0.2 - Uso Meses Corridos V2 - Pruebo Undersampling solo en Meses viejos V2june_seed2</v>
      </c>
      <c r="P132" s="1">
        <f>SUMIFS(D:D,G:G,O132)</f>
        <v>356000000</v>
      </c>
    </row>
    <row r="133" spans="1:16" x14ac:dyDescent="0.25">
      <c r="A133">
        <v>202106</v>
      </c>
      <c r="B133" t="s">
        <v>30</v>
      </c>
      <c r="C133" t="s">
        <v>33</v>
      </c>
      <c r="D133" s="1">
        <v>362400000</v>
      </c>
      <c r="E133" t="s">
        <v>32</v>
      </c>
      <c r="F133" t="str">
        <f>_xlfn.TEXTBEFORE(E133,"_2021")</f>
        <v>ganancias_Modelo Final US 0.2 - Uso Meses Corridos V2 - Saco los CTRL Adicionales</v>
      </c>
      <c r="G133" t="str">
        <f>_xlfn.CONCAT(F133,C133)</f>
        <v>ganancias_Modelo Final US 0.2 - Uso Meses Corridos V2 - Saco los CTRL Adicionalesfinal_training_june_seed2</v>
      </c>
      <c r="O133" t="str">
        <v>ganancias_modelosmixed_transition_seed4</v>
      </c>
      <c r="P133" s="1">
        <f>SUMIFS(D:D,G:G,O133)</f>
        <v>356000000</v>
      </c>
    </row>
    <row r="134" spans="1:16" x14ac:dyDescent="0.25">
      <c r="A134">
        <v>202106</v>
      </c>
      <c r="B134" t="s">
        <v>30</v>
      </c>
      <c r="C134" t="s">
        <v>36</v>
      </c>
      <c r="D134" s="1">
        <v>362400000</v>
      </c>
      <c r="E134" t="s">
        <v>32</v>
      </c>
      <c r="F134" t="str">
        <f>_xlfn.TEXTBEFORE(E134,"_2021")</f>
        <v>ganancias_Modelo Final US 0.2 - Uso Meses Corridos V2 - Saco los CTRL Adicionales</v>
      </c>
      <c r="G134" t="str">
        <f>_xlfn.CONCAT(F134,C134)</f>
        <v>ganancias_Modelo Final US 0.2 - Uso Meses Corridos V2 - Saco los CTRL Adicionalesfinal_training_june_seed5</v>
      </c>
      <c r="O134" t="str">
        <v>ganancias_Modelo Final US 0.2 - Uso Meses Corridos V2 - Pruebo Undersampling solo en Meses viejos V2june_seed4</v>
      </c>
      <c r="P134" s="1">
        <f>SUMIFS(D:D,G:G,O134)</f>
        <v>354400000</v>
      </c>
    </row>
    <row r="135" spans="1:16" x14ac:dyDescent="0.25">
      <c r="A135">
        <v>202106</v>
      </c>
      <c r="B135" t="s">
        <v>12</v>
      </c>
      <c r="C135" t="s">
        <v>13</v>
      </c>
      <c r="D135" s="1">
        <v>362400000</v>
      </c>
      <c r="E135" t="s">
        <v>38</v>
      </c>
      <c r="F135" t="str">
        <f>_xlfn.TEXTBEFORE(E135,"_2021")</f>
        <v>ganancias_Modelo Final US 0.2 - Uso Meses Corridos V2</v>
      </c>
      <c r="G135" t="str">
        <f>_xlfn.CONCAT(F135,C135)</f>
        <v>ganancias_Modelo Final US 0.2 - Uso Meses Corridos V2ensamble_global</v>
      </c>
      <c r="O135" t="str">
        <v>ganancias_Modelo Final US 0.2 - Uso Meses Corridos V2final_training_june_seed2</v>
      </c>
      <c r="P135" s="1">
        <f>SUMIFS(D:D,G:G,O135)</f>
        <v>354400000</v>
      </c>
    </row>
    <row r="136" spans="1:16" x14ac:dyDescent="0.25">
      <c r="A136">
        <v>202106</v>
      </c>
      <c r="B136" t="s">
        <v>14</v>
      </c>
      <c r="C136" t="s">
        <v>15</v>
      </c>
      <c r="D136" s="1">
        <v>362400000</v>
      </c>
      <c r="E136" t="s">
        <v>38</v>
      </c>
      <c r="F136" t="str">
        <f>_xlfn.TEXTBEFORE(E136,"_2021")</f>
        <v>ganancias_Modelo Final US 0.2 - Uso Meses Corridos V2</v>
      </c>
      <c r="G136" t="str">
        <f>_xlfn.CONCAT(F136,C136)</f>
        <v>ganancias_Modelo Final US 0.2 - Uso Meses Corridos V2ensamble_grupos</v>
      </c>
      <c r="O136" t="str">
        <v>ganancias_Modelo Final US 0.2 - Uso Meses Corridos y seasonality - Cambio IPC por Percentiles Rank (200 Percentiles) V2june_seed1</v>
      </c>
      <c r="P136" s="1">
        <f>SUMIFS(D:D,G:G,O136)</f>
        <v>354400000</v>
      </c>
    </row>
    <row r="137" spans="1:16" x14ac:dyDescent="0.25">
      <c r="A137">
        <v>202106</v>
      </c>
      <c r="B137" t="s">
        <v>54</v>
      </c>
      <c r="C137" t="s">
        <v>104</v>
      </c>
      <c r="D137" s="1">
        <v>362400000</v>
      </c>
      <c r="E137" t="s">
        <v>86</v>
      </c>
      <c r="F137" t="str">
        <f>_xlfn.TEXTBEFORE(E137,"_2021")</f>
        <v>ganancias_modelos</v>
      </c>
      <c r="G137" t="str">
        <f>_xlfn.CONCAT(F137,C137)</f>
        <v>ganancias_modelosrolling_05_seed3</v>
      </c>
      <c r="O137" t="str">
        <v>ganancias_Modelo Final US 0.2 - Uso Meses Corridos V3 - Agrego a meses viejos seasonalityjune_seed5</v>
      </c>
      <c r="P137" s="1">
        <f>SUMIFS(D:D,G:G,O137)</f>
        <v>352800000</v>
      </c>
    </row>
    <row r="138" spans="1:16" x14ac:dyDescent="0.25">
      <c r="A138">
        <v>202106</v>
      </c>
      <c r="B138" t="s">
        <v>84</v>
      </c>
      <c r="C138" t="s">
        <v>163</v>
      </c>
      <c r="D138" s="1">
        <v>361600000</v>
      </c>
      <c r="E138" t="s">
        <v>86</v>
      </c>
      <c r="F138" t="str">
        <f>_xlfn.TEXTBEFORE(E138,"_2021")</f>
        <v>ganancias_modelos</v>
      </c>
      <c r="G138" t="str">
        <f>_xlfn.CONCAT(F138,C138)</f>
        <v>ganancias_modelosmixed_full_year_seed2</v>
      </c>
      <c r="O138" t="str">
        <v>ganancias_modelosmixed_recent_01_seed2</v>
      </c>
      <c r="P138" s="1">
        <f>SUMIFS(D:D,G:G,O138)</f>
        <v>352800000</v>
      </c>
    </row>
    <row r="139" spans="1:16" x14ac:dyDescent="0.25">
      <c r="A139">
        <v>202106</v>
      </c>
      <c r="B139" t="s">
        <v>30</v>
      </c>
      <c r="C139" t="s">
        <v>34</v>
      </c>
      <c r="D139" s="1">
        <v>360000000</v>
      </c>
      <c r="E139" t="s">
        <v>32</v>
      </c>
      <c r="F139" t="str">
        <f>_xlfn.TEXTBEFORE(E139,"_2021")</f>
        <v>ganancias_Modelo Final US 0.2 - Uso Meses Corridos V2 - Saco los CTRL Adicionales</v>
      </c>
      <c r="G139" t="str">
        <f>_xlfn.CONCAT(F139,C139)</f>
        <v>ganancias_Modelo Final US 0.2 - Uso Meses Corridos V2 - Saco los CTRL Adicionalesfinal_training_june_seed3</v>
      </c>
      <c r="O139" t="str">
        <v>ganancias_modelosmixed_transition_seed2</v>
      </c>
      <c r="P139" s="1">
        <f>SUMIFS(D:D,G:G,O139)</f>
        <v>352800000</v>
      </c>
    </row>
    <row r="140" spans="1:16" x14ac:dyDescent="0.25">
      <c r="A140">
        <v>202106</v>
      </c>
      <c r="B140" t="s">
        <v>16</v>
      </c>
      <c r="C140" t="s">
        <v>19</v>
      </c>
      <c r="D140" s="1">
        <v>360000000</v>
      </c>
      <c r="E140" t="s">
        <v>44</v>
      </c>
      <c r="F140" t="str">
        <f>_xlfn.TEXTBEFORE(E140,"_2021")</f>
        <v>ganancias_Modelo Final US 0.2 - Uso Meses Corridos y seasonality - Cambio IPC por Percentiles Rank V2</v>
      </c>
      <c r="G140" t="str">
        <f>_xlfn.CONCAT(F140,C140)</f>
        <v>ganancias_Modelo Final US 0.2 - Uso Meses Corridos y seasonality - Cambio IPC por Percentiles Rank V2june_seed2</v>
      </c>
      <c r="O140" t="str">
        <v>ganancias_modelosmixed_full_year_seed4</v>
      </c>
      <c r="P140" s="1">
        <f>SUMIFS(D:D,G:G,O140)</f>
        <v>352800000</v>
      </c>
    </row>
    <row r="141" spans="1:16" x14ac:dyDescent="0.25">
      <c r="A141">
        <v>202106</v>
      </c>
      <c r="B141" t="s">
        <v>78</v>
      </c>
      <c r="C141" t="s">
        <v>154</v>
      </c>
      <c r="D141" s="1">
        <v>360000000</v>
      </c>
      <c r="E141" t="s">
        <v>86</v>
      </c>
      <c r="F141" t="str">
        <f>_xlfn.TEXTBEFORE(E141,"_2021")</f>
        <v>ganancias_modelos</v>
      </c>
      <c r="G141" t="str">
        <f>_xlfn.CONCAT(F141,C141)</f>
        <v>ganancias_modelosmixed_early_01_seed5</v>
      </c>
      <c r="O141" t="str">
        <v>ganancias_modelosseasonal_spring_seed3</v>
      </c>
      <c r="P141" s="1">
        <f>SUMIFS(D:D,G:G,O141)</f>
        <v>352000000</v>
      </c>
    </row>
    <row r="142" spans="1:16" x14ac:dyDescent="0.25">
      <c r="A142">
        <v>202106</v>
      </c>
      <c r="B142" t="s">
        <v>82</v>
      </c>
      <c r="C142" t="s">
        <v>160</v>
      </c>
      <c r="D142" s="1">
        <v>359200000</v>
      </c>
      <c r="E142" t="s">
        <v>86</v>
      </c>
      <c r="F142" t="str">
        <f>_xlfn.TEXTBEFORE(E142,"_2021")</f>
        <v>ganancias_modelos</v>
      </c>
      <c r="G142" t="str">
        <f>_xlfn.CONCAT(F142,C142)</f>
        <v>ganancias_modelosmixed_transition_seed3</v>
      </c>
      <c r="O142" t="str">
        <v>ganancias_modelosseasonal_q1_seed5</v>
      </c>
      <c r="P142" s="1">
        <f>SUMIFS(D:D,G:G,O142)</f>
        <v>352000000</v>
      </c>
    </row>
    <row r="143" spans="1:16" x14ac:dyDescent="0.25">
      <c r="A143">
        <v>202106</v>
      </c>
      <c r="B143" t="s">
        <v>58</v>
      </c>
      <c r="C143" t="s">
        <v>59</v>
      </c>
      <c r="D143" s="1">
        <v>358400000</v>
      </c>
      <c r="E143" t="s">
        <v>86</v>
      </c>
      <c r="F143" t="str">
        <f>_xlfn.TEXTBEFORE(E143,"_2021")</f>
        <v>ganancias_modelos</v>
      </c>
      <c r="G143" t="str">
        <f>_xlfn.CONCAT(F143,C143)</f>
        <v>ganancias_modelosrolling_07_seed1</v>
      </c>
      <c r="O143" t="str">
        <v>ganancias_modelosseasonal_autumn_seed4</v>
      </c>
      <c r="P143" s="1">
        <f>SUMIFS(D:D,G:G,O143)</f>
        <v>351200000</v>
      </c>
    </row>
    <row r="144" spans="1:16" x14ac:dyDescent="0.25">
      <c r="A144">
        <v>202106</v>
      </c>
      <c r="B144" t="s">
        <v>66</v>
      </c>
      <c r="C144" t="s">
        <v>129</v>
      </c>
      <c r="D144" s="1">
        <v>358400000</v>
      </c>
      <c r="E144" t="s">
        <v>86</v>
      </c>
      <c r="F144" t="str">
        <f>_xlfn.TEXTBEFORE(E144,"_2021")</f>
        <v>ganancias_modelos</v>
      </c>
      <c r="G144" t="str">
        <f>_xlfn.CONCAT(F144,C144)</f>
        <v>ganancias_modelosseasonal_spring_seed4</v>
      </c>
      <c r="O144" t="str">
        <v>ganancias_modelosrolling_05_seed5</v>
      </c>
      <c r="P144" s="1">
        <f>SUMIFS(D:D,G:G,O144)</f>
        <v>350400000</v>
      </c>
    </row>
    <row r="145" spans="1:16" x14ac:dyDescent="0.25">
      <c r="A145">
        <v>202106</v>
      </c>
      <c r="B145" t="s">
        <v>70</v>
      </c>
      <c r="C145" t="s">
        <v>135</v>
      </c>
      <c r="D145" s="1">
        <v>358400000</v>
      </c>
      <c r="E145" t="s">
        <v>86</v>
      </c>
      <c r="F145" t="str">
        <f>_xlfn.TEXTBEFORE(E145,"_2021")</f>
        <v>ganancias_modelos</v>
      </c>
      <c r="G145" t="str">
        <f>_xlfn.CONCAT(F145,C145)</f>
        <v>ganancias_modelosseasonal_q1_seed2</v>
      </c>
      <c r="O145" t="str">
        <v>ganancias_modelosseasonal_q1_seed3</v>
      </c>
      <c r="P145" s="1">
        <f>SUMIFS(D:D,G:G,O145)</f>
        <v>350400000</v>
      </c>
    </row>
    <row r="146" spans="1:16" x14ac:dyDescent="0.25">
      <c r="A146">
        <v>202106</v>
      </c>
      <c r="B146" t="s">
        <v>30</v>
      </c>
      <c r="C146" t="s">
        <v>34</v>
      </c>
      <c r="D146" s="1">
        <v>357600000</v>
      </c>
      <c r="E146" t="s">
        <v>38</v>
      </c>
      <c r="F146" t="str">
        <f>_xlfn.TEXTBEFORE(E146,"_2021")</f>
        <v>ganancias_Modelo Final US 0.2 - Uso Meses Corridos V2</v>
      </c>
      <c r="G146" t="str">
        <f>_xlfn.CONCAT(F146,C146)</f>
        <v>ganancias_Modelo Final US 0.2 - Uso Meses Corridos V2final_training_june_seed3</v>
      </c>
      <c r="O146" t="str">
        <v>ganancias_modelosmixed_transition_seed5</v>
      </c>
      <c r="P146" s="1">
        <f>SUMIFS(D:D,G:G,O146)</f>
        <v>350400000</v>
      </c>
    </row>
    <row r="147" spans="1:16" x14ac:dyDescent="0.25">
      <c r="A147">
        <v>202106</v>
      </c>
      <c r="B147" t="s">
        <v>16</v>
      </c>
      <c r="C147" t="s">
        <v>19</v>
      </c>
      <c r="D147" s="1">
        <v>357600000</v>
      </c>
      <c r="E147" t="s">
        <v>42</v>
      </c>
      <c r="F147" t="str">
        <f>_xlfn.TEXTBEFORE(E147,"_2021")</f>
        <v>ganancias_Modelo Final US 0.2 - Uso Meses Corridos y seasonality - Cambio IPC por Percentiles Rank (200 Percentiles) V2</v>
      </c>
      <c r="G147" t="str">
        <f>_xlfn.CONCAT(F147,C147)</f>
        <v>ganancias_Modelo Final US 0.2 - Uso Meses Corridos y seasonality - Cambio IPC por Percentiles Rank (200 Percentiles) V2june_seed2</v>
      </c>
      <c r="O147" t="str">
        <v>ganancias_Modelo Final US 0.2 - Uso Meses Corridos y seasonality - Cambio IPC por Percentiles Rank (200 Percentiles) V2june_seed5</v>
      </c>
      <c r="P147" s="1">
        <f>SUMIFS(D:D,G:G,O147)</f>
        <v>349600000</v>
      </c>
    </row>
    <row r="148" spans="1:16" x14ac:dyDescent="0.25">
      <c r="A148">
        <v>202106</v>
      </c>
      <c r="B148" t="s">
        <v>62</v>
      </c>
      <c r="C148" t="s">
        <v>122</v>
      </c>
      <c r="D148" s="1">
        <v>357600000</v>
      </c>
      <c r="E148" t="s">
        <v>86</v>
      </c>
      <c r="F148" t="str">
        <f>_xlfn.TEXTBEFORE(E148,"_2021")</f>
        <v>ganancias_modelos</v>
      </c>
      <c r="G148" t="str">
        <f>_xlfn.CONCAT(F148,C148)</f>
        <v>ganancias_modelosseasonal_autumn_seed5</v>
      </c>
      <c r="O148" t="str">
        <v>ganancias_modelosrolling_07_seed5</v>
      </c>
      <c r="P148" s="1">
        <f>SUMIFS(D:D,G:G,O148)</f>
        <v>349600000</v>
      </c>
    </row>
    <row r="149" spans="1:16" x14ac:dyDescent="0.25">
      <c r="A149">
        <v>202106</v>
      </c>
      <c r="B149" t="s">
        <v>66</v>
      </c>
      <c r="C149" t="s">
        <v>127</v>
      </c>
      <c r="D149" s="1">
        <v>357600000</v>
      </c>
      <c r="E149" t="s">
        <v>86</v>
      </c>
      <c r="F149" t="str">
        <f>_xlfn.TEXTBEFORE(E149,"_2021")</f>
        <v>ganancias_modelos</v>
      </c>
      <c r="G149" t="str">
        <f>_xlfn.CONCAT(F149,C149)</f>
        <v>ganancias_modelosseasonal_spring_seed2</v>
      </c>
      <c r="O149" t="str">
        <v>ganancias_Modelo Final US 0.2 - Uso Meses Corridos V2 - Pruebo Undersampling solo en Meses viejos V2june_seed5</v>
      </c>
      <c r="P149" s="1">
        <f>SUMIFS(D:D,G:G,O149)</f>
        <v>348800000</v>
      </c>
    </row>
    <row r="150" spans="1:16" x14ac:dyDescent="0.25">
      <c r="A150">
        <v>202106</v>
      </c>
      <c r="B150" t="s">
        <v>16</v>
      </c>
      <c r="C150" t="s">
        <v>21</v>
      </c>
      <c r="D150" s="1">
        <v>356800000</v>
      </c>
      <c r="E150" t="s">
        <v>40</v>
      </c>
      <c r="F150" t="str">
        <f>_xlfn.TEXTBEFORE(E150,"_2021")</f>
        <v>ganancias_Modelo Final US 0.2 - Uso Meses Corridos V3 - Agrego a meses viejos seasonality</v>
      </c>
      <c r="G150" t="str">
        <f>_xlfn.CONCAT(F150,C150)</f>
        <v>ganancias_Modelo Final US 0.2 - Uso Meses Corridos V3 - Agrego a meses viejos seasonalityjune_seed4</v>
      </c>
      <c r="O150" t="str">
        <v>ganancias_modelosmixed_recent_01_seed3</v>
      </c>
      <c r="P150" s="1">
        <f>SUMIFS(D:D,G:G,O150)</f>
        <v>348800000</v>
      </c>
    </row>
    <row r="151" spans="1:16" x14ac:dyDescent="0.25">
      <c r="A151">
        <v>202106</v>
      </c>
      <c r="B151" t="s">
        <v>12</v>
      </c>
      <c r="C151" t="s">
        <v>13</v>
      </c>
      <c r="D151" s="1">
        <v>356800000</v>
      </c>
      <c r="E151" t="s">
        <v>42</v>
      </c>
      <c r="F151" t="str">
        <f>_xlfn.TEXTBEFORE(E151,"_2021")</f>
        <v>ganancias_Modelo Final US 0.2 - Uso Meses Corridos y seasonality - Cambio IPC por Percentiles Rank (200 Percentiles) V2</v>
      </c>
      <c r="G151" t="str">
        <f>_xlfn.CONCAT(F151,C151)</f>
        <v>ganancias_Modelo Final US 0.2 - Uso Meses Corridos y seasonality - Cambio IPC por Percentiles Rank (200 Percentiles) V2ensamble_global</v>
      </c>
      <c r="O151" t="str">
        <v>ganancias_Modelo Final US 0.2 - Uso Meses Corridos y seasonality - Cambio IPC por Percentiles Rank (200 Percentiles) V2june_seed3</v>
      </c>
      <c r="P151" s="1">
        <f>SUMIFS(D:D,G:G,O151)</f>
        <v>348000000</v>
      </c>
    </row>
    <row r="152" spans="1:16" x14ac:dyDescent="0.25">
      <c r="A152">
        <v>202106</v>
      </c>
      <c r="B152" t="s">
        <v>14</v>
      </c>
      <c r="C152" t="s">
        <v>15</v>
      </c>
      <c r="D152" s="1">
        <v>356800000</v>
      </c>
      <c r="E152" t="s">
        <v>42</v>
      </c>
      <c r="F152" t="str">
        <f>_xlfn.TEXTBEFORE(E152,"_2021")</f>
        <v>ganancias_Modelo Final US 0.2 - Uso Meses Corridos y seasonality - Cambio IPC por Percentiles Rank (200 Percentiles) V2</v>
      </c>
      <c r="G152" t="str">
        <f>_xlfn.CONCAT(F152,C152)</f>
        <v>ganancias_Modelo Final US 0.2 - Uso Meses Corridos y seasonality - Cambio IPC por Percentiles Rank (200 Percentiles) V2ensamble_grupos</v>
      </c>
      <c r="O152" t="str">
        <v>ganancias_Modelo Final US 0.2 - Uso Meses Corridos y seasonality - Cambio IPC por Percentiles Rank (200 Percentiles) V2june_seed4</v>
      </c>
      <c r="P152" s="1">
        <f>SUMIFS(D:D,G:G,O152)</f>
        <v>348000000</v>
      </c>
    </row>
    <row r="153" spans="1:16" x14ac:dyDescent="0.25">
      <c r="A153">
        <v>202106</v>
      </c>
      <c r="B153" t="s">
        <v>84</v>
      </c>
      <c r="C153" t="s">
        <v>166</v>
      </c>
      <c r="D153" s="1">
        <v>356800000</v>
      </c>
      <c r="E153" t="s">
        <v>86</v>
      </c>
      <c r="F153" t="str">
        <f>_xlfn.TEXTBEFORE(E153,"_2021")</f>
        <v>ganancias_modelos</v>
      </c>
      <c r="G153" t="str">
        <f>_xlfn.CONCAT(F153,C153)</f>
        <v>ganancias_modelosmixed_full_year_seed5</v>
      </c>
      <c r="O153" t="str">
        <v>ganancias_modelosrolling_07_seed2</v>
      </c>
      <c r="P153" s="1">
        <f>SUMIFS(D:D,G:G,O153)</f>
        <v>348000000</v>
      </c>
    </row>
    <row r="154" spans="1:16" x14ac:dyDescent="0.25">
      <c r="A154">
        <v>202106</v>
      </c>
      <c r="B154" t="s">
        <v>16</v>
      </c>
      <c r="C154" t="s">
        <v>19</v>
      </c>
      <c r="D154" s="1">
        <v>356000000</v>
      </c>
      <c r="E154" t="s">
        <v>18</v>
      </c>
      <c r="F154" t="str">
        <f>_xlfn.TEXTBEFORE(E154,"_2021")</f>
        <v>ganancias_Modelo Final US 0.2 - Uso Meses Corridos V2 - Pruebo Undersampling solo en Meses viejos V2</v>
      </c>
      <c r="G154" t="str">
        <f>_xlfn.CONCAT(F154,C154)</f>
        <v>ganancias_Modelo Final US 0.2 - Uso Meses Corridos V2 - Pruebo Undersampling solo en Meses viejos V2june_seed2</v>
      </c>
      <c r="O154" t="str">
        <v>ganancias_modelosseasonal_spring_seed5</v>
      </c>
      <c r="P154" s="1">
        <f>SUMIFS(D:D,G:G,O154)</f>
        <v>348000000</v>
      </c>
    </row>
    <row r="155" spans="1:16" x14ac:dyDescent="0.25">
      <c r="A155">
        <v>202106</v>
      </c>
      <c r="B155" t="s">
        <v>82</v>
      </c>
      <c r="C155" t="s">
        <v>161</v>
      </c>
      <c r="D155" s="1">
        <v>356000000</v>
      </c>
      <c r="E155" t="s">
        <v>86</v>
      </c>
      <c r="F155" t="str">
        <f>_xlfn.TEXTBEFORE(E155,"_2021")</f>
        <v>ganancias_modelos</v>
      </c>
      <c r="G155" t="str">
        <f>_xlfn.CONCAT(F155,C155)</f>
        <v>ganancias_modelosmixed_transition_seed4</v>
      </c>
      <c r="O155" t="str">
        <v>ganancias_Modelo Final US 0.2 - Uso Meses Corridos V2 - Pruebo Undersampling solo en Meses viejos V2june_seed3</v>
      </c>
      <c r="P155" s="1">
        <f>SUMIFS(D:D,G:G,O155)</f>
        <v>346400000</v>
      </c>
    </row>
    <row r="156" spans="1:16" x14ac:dyDescent="0.25">
      <c r="A156">
        <v>202106</v>
      </c>
      <c r="B156" t="s">
        <v>16</v>
      </c>
      <c r="C156" t="s">
        <v>21</v>
      </c>
      <c r="D156" s="1">
        <v>354400000</v>
      </c>
      <c r="E156" t="s">
        <v>18</v>
      </c>
      <c r="F156" t="str">
        <f>_xlfn.TEXTBEFORE(E156,"_2021")</f>
        <v>ganancias_Modelo Final US 0.2 - Uso Meses Corridos V2 - Pruebo Undersampling solo en Meses viejos V2</v>
      </c>
      <c r="G156" t="str">
        <f>_xlfn.CONCAT(F156,C156)</f>
        <v>ganancias_Modelo Final US 0.2 - Uso Meses Corridos V2 - Pruebo Undersampling solo en Meses viejos V2june_seed4</v>
      </c>
      <c r="O156" t="str">
        <v>ganancias_modelosseasonal_autumn_seed2</v>
      </c>
      <c r="P156" s="1">
        <f>SUMIFS(D:D,G:G,O156)</f>
        <v>346400000</v>
      </c>
    </row>
    <row r="157" spans="1:16" x14ac:dyDescent="0.25">
      <c r="A157">
        <v>202106</v>
      </c>
      <c r="B157" t="s">
        <v>30</v>
      </c>
      <c r="C157" t="s">
        <v>33</v>
      </c>
      <c r="D157" s="1">
        <v>354400000</v>
      </c>
      <c r="E157" t="s">
        <v>38</v>
      </c>
      <c r="F157" t="str">
        <f>_xlfn.TEXTBEFORE(E157,"_2021")</f>
        <v>ganancias_Modelo Final US 0.2 - Uso Meses Corridos V2</v>
      </c>
      <c r="G157" t="str">
        <f>_xlfn.CONCAT(F157,C157)</f>
        <v>ganancias_Modelo Final US 0.2 - Uso Meses Corridos V2final_training_june_seed2</v>
      </c>
      <c r="O157" t="str">
        <v>ganancias_modelosmixed_full_year_seed3</v>
      </c>
      <c r="P157" s="1">
        <f>SUMIFS(D:D,G:G,O157)</f>
        <v>346400000</v>
      </c>
    </row>
    <row r="158" spans="1:16" x14ac:dyDescent="0.25">
      <c r="A158">
        <v>202106</v>
      </c>
      <c r="B158" t="s">
        <v>16</v>
      </c>
      <c r="C158" t="s">
        <v>17</v>
      </c>
      <c r="D158" s="1">
        <v>354400000</v>
      </c>
      <c r="E158" t="s">
        <v>42</v>
      </c>
      <c r="F158" t="str">
        <f>_xlfn.TEXTBEFORE(E158,"_2021")</f>
        <v>ganancias_Modelo Final US 0.2 - Uso Meses Corridos y seasonality - Cambio IPC por Percentiles Rank (200 Percentiles) V2</v>
      </c>
      <c r="G158" t="str">
        <f>_xlfn.CONCAT(F158,C158)</f>
        <v>ganancias_Modelo Final US 0.2 - Uso Meses Corridos y seasonality - Cambio IPC por Percentiles Rank (200 Percentiles) V2june_seed1</v>
      </c>
      <c r="O158" t="str">
        <v>ganancias_Modelo Final US 0.2 - Uso Meses Corridos V2 - Pruebo Undersampling solo en Meses viejos V2june_seed1</v>
      </c>
      <c r="P158" s="1">
        <f>SUMIFS(D:D,G:G,O158)</f>
        <v>345600000</v>
      </c>
    </row>
    <row r="159" spans="1:16" x14ac:dyDescent="0.25">
      <c r="A159">
        <v>202106</v>
      </c>
      <c r="B159" t="s">
        <v>12</v>
      </c>
      <c r="C159" t="s">
        <v>13</v>
      </c>
      <c r="D159" s="1">
        <v>353600000</v>
      </c>
      <c r="E159" t="s">
        <v>18</v>
      </c>
      <c r="F159" t="str">
        <f>_xlfn.TEXTBEFORE(E159,"_2021")</f>
        <v>ganancias_Modelo Final US 0.2 - Uso Meses Corridos V2 - Pruebo Undersampling solo en Meses viejos V2</v>
      </c>
      <c r="G159" t="str">
        <f>_xlfn.CONCAT(F159,C159)</f>
        <v>ganancias_Modelo Final US 0.2 - Uso Meses Corridos V2 - Pruebo Undersampling solo en Meses viejos V2ensamble_global</v>
      </c>
      <c r="O159" t="str">
        <v>ganancias_Modelo Final US 0.2 - Uso Meses Corridos V3 - Agrego a meses viejos seasonalityjune_seed3</v>
      </c>
      <c r="P159" s="1">
        <f>SUMIFS(D:D,G:G,O159)</f>
        <v>344800000</v>
      </c>
    </row>
    <row r="160" spans="1:16" x14ac:dyDescent="0.25">
      <c r="A160">
        <v>202106</v>
      </c>
      <c r="B160" t="s">
        <v>14</v>
      </c>
      <c r="C160" t="s">
        <v>15</v>
      </c>
      <c r="D160" s="1">
        <v>353600000</v>
      </c>
      <c r="E160" t="s">
        <v>18</v>
      </c>
      <c r="F160" t="str">
        <f>_xlfn.TEXTBEFORE(E160,"_2021")</f>
        <v>ganancias_Modelo Final US 0.2 - Uso Meses Corridos V2 - Pruebo Undersampling solo en Meses viejos V2</v>
      </c>
      <c r="G160" t="str">
        <f>_xlfn.CONCAT(F160,C160)</f>
        <v>ganancias_Modelo Final US 0.2 - Uso Meses Corridos V2 - Pruebo Undersampling solo en Meses viejos V2ensamble_grupos</v>
      </c>
      <c r="O160" t="str">
        <v>ganancias_modelosmixed_recent_01_seed5</v>
      </c>
      <c r="P160" s="1">
        <f>SUMIFS(D:D,G:G,O160)</f>
        <v>344800000</v>
      </c>
    </row>
    <row r="161" spans="1:16" x14ac:dyDescent="0.25">
      <c r="A161">
        <v>202106</v>
      </c>
      <c r="B161" t="s">
        <v>16</v>
      </c>
      <c r="C161" t="s">
        <v>22</v>
      </c>
      <c r="D161" s="1">
        <v>352800000</v>
      </c>
      <c r="E161" t="s">
        <v>40</v>
      </c>
      <c r="F161" t="str">
        <f>_xlfn.TEXTBEFORE(E161,"_2021")</f>
        <v>ganancias_Modelo Final US 0.2 - Uso Meses Corridos V3 - Agrego a meses viejos seasonality</v>
      </c>
      <c r="G161" t="str">
        <f>_xlfn.CONCAT(F161,C161)</f>
        <v>ganancias_Modelo Final US 0.2 - Uso Meses Corridos V3 - Agrego a meses viejos seasonalityjune_seed5</v>
      </c>
      <c r="O161" t="str">
        <v>ganancias_modelosmixed_recent_02_seed4</v>
      </c>
      <c r="P161" s="1">
        <f>SUMIFS(D:D,G:G,O161)</f>
        <v>344800000</v>
      </c>
    </row>
    <row r="162" spans="1:16" x14ac:dyDescent="0.25">
      <c r="A162">
        <v>202106</v>
      </c>
      <c r="B162" t="s">
        <v>74</v>
      </c>
      <c r="C162" t="s">
        <v>143</v>
      </c>
      <c r="D162" s="1">
        <v>352800000</v>
      </c>
      <c r="E162" t="s">
        <v>86</v>
      </c>
      <c r="F162" t="str">
        <f>_xlfn.TEXTBEFORE(E162,"_2021")</f>
        <v>ganancias_modelos</v>
      </c>
      <c r="G162" t="str">
        <f>_xlfn.CONCAT(F162,C162)</f>
        <v>ganancias_modelosmixed_recent_01_seed2</v>
      </c>
      <c r="O162" t="str">
        <v>ganancias_modelosseasonal_autumn_seed3</v>
      </c>
      <c r="P162" s="1">
        <f>SUMIFS(D:D,G:G,O162)</f>
        <v>344000000</v>
      </c>
    </row>
    <row r="163" spans="1:16" x14ac:dyDescent="0.25">
      <c r="A163">
        <v>202106</v>
      </c>
      <c r="B163" t="s">
        <v>82</v>
      </c>
      <c r="C163" t="s">
        <v>159</v>
      </c>
      <c r="D163" s="1">
        <v>352800000</v>
      </c>
      <c r="E163" t="s">
        <v>86</v>
      </c>
      <c r="F163" t="str">
        <f>_xlfn.TEXTBEFORE(E163,"_2021")</f>
        <v>ganancias_modelos</v>
      </c>
      <c r="G163" t="str">
        <f>_xlfn.CONCAT(F163,C163)</f>
        <v>ganancias_modelosmixed_transition_seed2</v>
      </c>
      <c r="O163" t="str">
        <v>ganancias_modelosmixed_recent_01_seed4</v>
      </c>
      <c r="P163" s="1">
        <f>SUMIFS(D:D,G:G,O163)</f>
        <v>343200000</v>
      </c>
    </row>
    <row r="164" spans="1:16" x14ac:dyDescent="0.25">
      <c r="A164">
        <v>202106</v>
      </c>
      <c r="B164" t="s">
        <v>84</v>
      </c>
      <c r="C164" t="s">
        <v>165</v>
      </c>
      <c r="D164" s="1">
        <v>352800000</v>
      </c>
      <c r="E164" t="s">
        <v>86</v>
      </c>
      <c r="F164" t="str">
        <f>_xlfn.TEXTBEFORE(E164,"_2021")</f>
        <v>ganancias_modelos</v>
      </c>
      <c r="G164" t="str">
        <f>_xlfn.CONCAT(F164,C164)</f>
        <v>ganancias_modelosmixed_full_year_seed4</v>
      </c>
      <c r="O164" t="str">
        <v>ganancias_Modelo Final US 0.2 - Uso Meses Corridos V3 - Agrego a meses viejos seasonalityjune_seed1</v>
      </c>
      <c r="P164" s="1">
        <f>SUMIFS(D:D,G:G,O164)</f>
        <v>342400000</v>
      </c>
    </row>
    <row r="165" spans="1:16" x14ac:dyDescent="0.25">
      <c r="A165">
        <v>202106</v>
      </c>
      <c r="B165" t="s">
        <v>54</v>
      </c>
      <c r="C165" t="s">
        <v>55</v>
      </c>
      <c r="D165" s="1">
        <v>352000000</v>
      </c>
      <c r="E165" t="s">
        <v>86</v>
      </c>
      <c r="F165" t="str">
        <f>_xlfn.TEXTBEFORE(E165,"_2021")</f>
        <v>ganancias_modelos</v>
      </c>
      <c r="G165" t="str">
        <f>_xlfn.CONCAT(F165,C165)</f>
        <v>ganancias_modelosrolling_05_seed1</v>
      </c>
      <c r="O165" t="str">
        <v>ganancias_modelosrolling_04_seed2</v>
      </c>
      <c r="P165" s="1">
        <f>SUMIFS(D:D,G:G,O165)</f>
        <v>340800000</v>
      </c>
    </row>
    <row r="166" spans="1:16" x14ac:dyDescent="0.25">
      <c r="A166">
        <v>202106</v>
      </c>
      <c r="B166" t="s">
        <v>66</v>
      </c>
      <c r="C166" t="s">
        <v>128</v>
      </c>
      <c r="D166" s="1">
        <v>352000000</v>
      </c>
      <c r="E166" t="s">
        <v>86</v>
      </c>
      <c r="F166" t="str">
        <f>_xlfn.TEXTBEFORE(E166,"_2021")</f>
        <v>ganancias_modelos</v>
      </c>
      <c r="G166" t="str">
        <f>_xlfn.CONCAT(F166,C166)</f>
        <v>ganancias_modelosseasonal_spring_seed3</v>
      </c>
      <c r="O166" t="str">
        <v>ganancias_modelosrolling_05_seed2</v>
      </c>
      <c r="P166" s="1">
        <f>SUMIFS(D:D,G:G,O166)</f>
        <v>340000000</v>
      </c>
    </row>
    <row r="167" spans="1:16" x14ac:dyDescent="0.25">
      <c r="A167">
        <v>202106</v>
      </c>
      <c r="B167" t="s">
        <v>70</v>
      </c>
      <c r="C167" t="s">
        <v>138</v>
      </c>
      <c r="D167" s="1">
        <v>352000000</v>
      </c>
      <c r="E167" t="s">
        <v>86</v>
      </c>
      <c r="F167" t="str">
        <f>_xlfn.TEXTBEFORE(E167,"_2021")</f>
        <v>ganancias_modelos</v>
      </c>
      <c r="G167" t="str">
        <f>_xlfn.CONCAT(F167,C167)</f>
        <v>ganancias_modelosseasonal_q1_seed5</v>
      </c>
      <c r="O167" t="str">
        <v>ganancias_modelosrolling_07_seed3</v>
      </c>
      <c r="P167" s="1">
        <f>SUMIFS(D:D,G:G,O167)</f>
        <v>340000000</v>
      </c>
    </row>
    <row r="168" spans="1:16" x14ac:dyDescent="0.25">
      <c r="A168">
        <v>202106</v>
      </c>
      <c r="B168" t="s">
        <v>62</v>
      </c>
      <c r="C168" t="s">
        <v>63</v>
      </c>
      <c r="D168" s="1">
        <v>351200000</v>
      </c>
      <c r="E168" t="s">
        <v>86</v>
      </c>
      <c r="F168" t="str">
        <f>_xlfn.TEXTBEFORE(E168,"_2021")</f>
        <v>ganancias_modelos</v>
      </c>
      <c r="G168" t="str">
        <f>_xlfn.CONCAT(F168,C168)</f>
        <v>ganancias_modelosseasonal_autumn_seed1</v>
      </c>
      <c r="O168" t="str">
        <v>ganancias_modelosrolling_05_seed4</v>
      </c>
      <c r="P168" s="1">
        <f>SUMIFS(D:D,G:G,O168)</f>
        <v>339200000</v>
      </c>
    </row>
    <row r="169" spans="1:16" x14ac:dyDescent="0.25">
      <c r="A169">
        <v>202106</v>
      </c>
      <c r="B169" t="s">
        <v>62</v>
      </c>
      <c r="C169" t="s">
        <v>121</v>
      </c>
      <c r="D169" s="1">
        <v>351200000</v>
      </c>
      <c r="E169" t="s">
        <v>86</v>
      </c>
      <c r="F169" t="str">
        <f>_xlfn.TEXTBEFORE(E169,"_2021")</f>
        <v>ganancias_modelos</v>
      </c>
      <c r="G169" t="str">
        <f>_xlfn.CONCAT(F169,C169)</f>
        <v>ganancias_modelosseasonal_autumn_seed4</v>
      </c>
      <c r="O169" t="str">
        <v>ganancias_Modelo Final US 0.2 - Uso Meses Corridos V3 - Agrego a meses viejos seasonalityjune_seed2</v>
      </c>
      <c r="P169" s="1">
        <f>SUMIFS(D:D,G:G,O169)</f>
        <v>338400000</v>
      </c>
    </row>
    <row r="170" spans="1:16" x14ac:dyDescent="0.25">
      <c r="A170">
        <v>202106</v>
      </c>
      <c r="B170" t="s">
        <v>54</v>
      </c>
      <c r="C170" t="s">
        <v>106</v>
      </c>
      <c r="D170" s="1">
        <v>350400000</v>
      </c>
      <c r="E170" t="s">
        <v>86</v>
      </c>
      <c r="F170" t="str">
        <f>_xlfn.TEXTBEFORE(E170,"_2021")</f>
        <v>ganancias_modelos</v>
      </c>
      <c r="G170" t="str">
        <f>_xlfn.CONCAT(F170,C170)</f>
        <v>ganancias_modelosrolling_05_seed5</v>
      </c>
      <c r="O170" t="str">
        <v>ganancias_modelosrolling_04_seed5</v>
      </c>
      <c r="P170" s="1">
        <f>SUMIFS(D:D,G:G,O170)</f>
        <v>336800000</v>
      </c>
    </row>
    <row r="171" spans="1:16" x14ac:dyDescent="0.25">
      <c r="A171">
        <v>202106</v>
      </c>
      <c r="B171" t="s">
        <v>70</v>
      </c>
      <c r="C171" t="s">
        <v>136</v>
      </c>
      <c r="D171" s="1">
        <v>350400000</v>
      </c>
      <c r="E171" t="s">
        <v>86</v>
      </c>
      <c r="F171" t="str">
        <f>_xlfn.TEXTBEFORE(E171,"_2021")</f>
        <v>ganancias_modelos</v>
      </c>
      <c r="G171" t="str">
        <f>_xlfn.CONCAT(F171,C171)</f>
        <v>ganancias_modelosseasonal_q1_seed3</v>
      </c>
      <c r="O171" t="str">
        <v>ganancias_modelosrolling_07_seed4</v>
      </c>
      <c r="P171" s="1">
        <f>SUMIFS(D:D,G:G,O171)</f>
        <v>336800000</v>
      </c>
    </row>
    <row r="172" spans="1:16" x14ac:dyDescent="0.25">
      <c r="A172">
        <v>202106</v>
      </c>
      <c r="B172" t="s">
        <v>82</v>
      </c>
      <c r="C172" t="s">
        <v>162</v>
      </c>
      <c r="D172" s="1">
        <v>350400000</v>
      </c>
      <c r="E172" t="s">
        <v>86</v>
      </c>
      <c r="F172" t="str">
        <f>_xlfn.TEXTBEFORE(E172,"_2021")</f>
        <v>ganancias_modelos</v>
      </c>
      <c r="G172" t="str">
        <f>_xlfn.CONCAT(F172,C172)</f>
        <v>ganancias_modelosmixed_transition_seed5</v>
      </c>
      <c r="O172" t="str">
        <v>ganancias_modelosrolling_04_seed3</v>
      </c>
      <c r="P172" s="1">
        <f>SUMIFS(D:D,G:G,O172)</f>
        <v>336000000</v>
      </c>
    </row>
    <row r="173" spans="1:16" x14ac:dyDescent="0.25">
      <c r="A173">
        <v>202106</v>
      </c>
      <c r="B173" t="s">
        <v>16</v>
      </c>
      <c r="C173" t="s">
        <v>22</v>
      </c>
      <c r="D173" s="1">
        <v>349600000</v>
      </c>
      <c r="E173" t="s">
        <v>42</v>
      </c>
      <c r="F173" t="str">
        <f>_xlfn.TEXTBEFORE(E173,"_2021")</f>
        <v>ganancias_Modelo Final US 0.2 - Uso Meses Corridos y seasonality - Cambio IPC por Percentiles Rank (200 Percentiles) V2</v>
      </c>
      <c r="G173" t="str">
        <f>_xlfn.CONCAT(F173,C173)</f>
        <v>ganancias_Modelo Final US 0.2 - Uso Meses Corridos y seasonality - Cambio IPC por Percentiles Rank (200 Percentiles) V2june_seed5</v>
      </c>
      <c r="O173" t="str">
        <v>ganancias_modelosmixed_recent_02_seed3</v>
      </c>
      <c r="P173" s="1">
        <f>SUMIFS(D:D,G:G,O173)</f>
        <v>336000000</v>
      </c>
    </row>
    <row r="174" spans="1:16" x14ac:dyDescent="0.25">
      <c r="A174">
        <v>202106</v>
      </c>
      <c r="B174" t="s">
        <v>58</v>
      </c>
      <c r="C174" t="s">
        <v>114</v>
      </c>
      <c r="D174" s="1">
        <v>349600000</v>
      </c>
      <c r="E174" t="s">
        <v>86</v>
      </c>
      <c r="F174" t="str">
        <f>_xlfn.TEXTBEFORE(E174,"_2021")</f>
        <v>ganancias_modelos</v>
      </c>
      <c r="G174" t="str">
        <f>_xlfn.CONCAT(F174,C174)</f>
        <v>ganancias_modelosrolling_07_seed5</v>
      </c>
      <c r="O174" t="str">
        <v>ganancias_modelosmixed_recent_02_seed5</v>
      </c>
      <c r="P174" s="1">
        <f>SUMIFS(D:D,G:G,O174)</f>
        <v>332000000</v>
      </c>
    </row>
    <row r="175" spans="1:16" x14ac:dyDescent="0.25">
      <c r="A175">
        <v>202106</v>
      </c>
      <c r="B175" t="s">
        <v>16</v>
      </c>
      <c r="C175" t="s">
        <v>22</v>
      </c>
      <c r="D175" s="1">
        <v>348800000</v>
      </c>
      <c r="E175" t="s">
        <v>18</v>
      </c>
      <c r="F175" t="str">
        <f>_xlfn.TEXTBEFORE(E175,"_2021")</f>
        <v>ganancias_Modelo Final US 0.2 - Uso Meses Corridos V2 - Pruebo Undersampling solo en Meses viejos V2</v>
      </c>
      <c r="G175" t="str">
        <f>_xlfn.CONCAT(F175,C175)</f>
        <v>ganancias_Modelo Final US 0.2 - Uso Meses Corridos V2 - Pruebo Undersampling solo en Meses viejos V2june_seed5</v>
      </c>
      <c r="O175" t="str">
        <v>ganancias_modelosrolling_04_seed4</v>
      </c>
      <c r="P175" s="1">
        <f>SUMIFS(D:D,G:G,O175)</f>
        <v>330400000</v>
      </c>
    </row>
    <row r="176" spans="1:16" x14ac:dyDescent="0.25">
      <c r="A176">
        <v>202106</v>
      </c>
      <c r="B176" t="s">
        <v>74</v>
      </c>
      <c r="C176" t="s">
        <v>144</v>
      </c>
      <c r="D176" s="1">
        <v>348800000</v>
      </c>
      <c r="E176" t="s">
        <v>86</v>
      </c>
      <c r="F176" t="str">
        <f>_xlfn.TEXTBEFORE(E176,"_2021")</f>
        <v>ganancias_modelos</v>
      </c>
      <c r="G176" t="str">
        <f>_xlfn.CONCAT(F176,C176)</f>
        <v>ganancias_modelosmixed_recent_01_seed3</v>
      </c>
      <c r="O176" t="str">
        <v>ganancias_modelosmixed_recent_02_seed2</v>
      </c>
      <c r="P176" s="1">
        <f>SUMIFS(D:D,G:G,O176)</f>
        <v>327200000</v>
      </c>
    </row>
    <row r="177" spans="1:16" x14ac:dyDescent="0.25">
      <c r="A177">
        <v>202106</v>
      </c>
      <c r="B177" t="s">
        <v>16</v>
      </c>
      <c r="C177" t="s">
        <v>20</v>
      </c>
      <c r="D177" s="1">
        <v>348000000</v>
      </c>
      <c r="E177" t="s">
        <v>42</v>
      </c>
      <c r="F177" t="str">
        <f>_xlfn.TEXTBEFORE(E177,"_2021")</f>
        <v>ganancias_Modelo Final US 0.2 - Uso Meses Corridos y seasonality - Cambio IPC por Percentiles Rank (200 Percentiles) V2</v>
      </c>
      <c r="G177" t="str">
        <f>_xlfn.CONCAT(F177,C177)</f>
        <v>ganancias_Modelo Final US 0.2 - Uso Meses Corridos y seasonality - Cambio IPC por Percentiles Rank (200 Percentiles) V2june_seed3</v>
      </c>
      <c r="P177" s="1">
        <f>SUMIFS(D:D,G:G,O177)</f>
        <v>0</v>
      </c>
    </row>
    <row r="178" spans="1:16" x14ac:dyDescent="0.25">
      <c r="A178">
        <v>202106</v>
      </c>
      <c r="B178" t="s">
        <v>16</v>
      </c>
      <c r="C178" t="s">
        <v>21</v>
      </c>
      <c r="D178" s="1">
        <v>348000000</v>
      </c>
      <c r="E178" t="s">
        <v>42</v>
      </c>
      <c r="F178" t="str">
        <f>_xlfn.TEXTBEFORE(E178,"_2021")</f>
        <v>ganancias_Modelo Final US 0.2 - Uso Meses Corridos y seasonality - Cambio IPC por Percentiles Rank (200 Percentiles) V2</v>
      </c>
      <c r="G178" t="str">
        <f>_xlfn.CONCAT(F178,C178)</f>
        <v>ganancias_Modelo Final US 0.2 - Uso Meses Corridos y seasonality - Cambio IPC por Percentiles Rank (200 Percentiles) V2june_seed4</v>
      </c>
      <c r="P178" s="1">
        <f>SUMIFS(D:D,G:G,O178)</f>
        <v>0</v>
      </c>
    </row>
    <row r="179" spans="1:16" x14ac:dyDescent="0.25">
      <c r="A179">
        <v>202106</v>
      </c>
      <c r="B179" t="s">
        <v>58</v>
      </c>
      <c r="C179" t="s">
        <v>111</v>
      </c>
      <c r="D179" s="1">
        <v>348000000</v>
      </c>
      <c r="E179" t="s">
        <v>86</v>
      </c>
      <c r="F179" t="str">
        <f>_xlfn.TEXTBEFORE(E179,"_2021")</f>
        <v>ganancias_modelos</v>
      </c>
      <c r="G179" t="str">
        <f>_xlfn.CONCAT(F179,C179)</f>
        <v>ganancias_modelosrolling_07_seed2</v>
      </c>
      <c r="P179" s="1">
        <f>SUMIFS(D:D,G:G,O179)</f>
        <v>0</v>
      </c>
    </row>
    <row r="180" spans="1:16" x14ac:dyDescent="0.25">
      <c r="A180">
        <v>202106</v>
      </c>
      <c r="B180" t="s">
        <v>66</v>
      </c>
      <c r="C180" t="s">
        <v>130</v>
      </c>
      <c r="D180" s="1">
        <v>348000000</v>
      </c>
      <c r="E180" t="s">
        <v>86</v>
      </c>
      <c r="F180" t="str">
        <f>_xlfn.TEXTBEFORE(E180,"_2021")</f>
        <v>ganancias_modelos</v>
      </c>
      <c r="G180" t="str">
        <f>_xlfn.CONCAT(F180,C180)</f>
        <v>ganancias_modelosseasonal_spring_seed5</v>
      </c>
      <c r="P180" s="1">
        <f>SUMIFS(D:D,G:G,O180)</f>
        <v>0</v>
      </c>
    </row>
    <row r="181" spans="1:16" x14ac:dyDescent="0.25">
      <c r="A181">
        <v>202106</v>
      </c>
      <c r="B181" t="s">
        <v>76</v>
      </c>
      <c r="C181" t="s">
        <v>77</v>
      </c>
      <c r="D181" s="1">
        <v>347200000</v>
      </c>
      <c r="E181" t="s">
        <v>86</v>
      </c>
      <c r="F181" t="str">
        <f>_xlfn.TEXTBEFORE(E181,"_2021")</f>
        <v>ganancias_modelos</v>
      </c>
      <c r="G181" t="str">
        <f>_xlfn.CONCAT(F181,C181)</f>
        <v>ganancias_modelosmixed_recent_02_seed1</v>
      </c>
      <c r="P181" s="1">
        <f>SUMIFS(D:D,G:G,O181)</f>
        <v>0</v>
      </c>
    </row>
    <row r="182" spans="1:16" x14ac:dyDescent="0.25">
      <c r="A182">
        <v>202106</v>
      </c>
      <c r="B182" t="s">
        <v>16</v>
      </c>
      <c r="C182" t="s">
        <v>20</v>
      </c>
      <c r="D182" s="1">
        <v>346400000</v>
      </c>
      <c r="E182" t="s">
        <v>18</v>
      </c>
      <c r="F182" t="str">
        <f>_xlfn.TEXTBEFORE(E182,"_2021")</f>
        <v>ganancias_Modelo Final US 0.2 - Uso Meses Corridos V2 - Pruebo Undersampling solo en Meses viejos V2</v>
      </c>
      <c r="G182" t="str">
        <f>_xlfn.CONCAT(F182,C182)</f>
        <v>ganancias_Modelo Final US 0.2 - Uso Meses Corridos V2 - Pruebo Undersampling solo en Meses viejos V2june_seed3</v>
      </c>
      <c r="P182" s="1">
        <f>SUMIFS(D:D,G:G,O182)</f>
        <v>0</v>
      </c>
    </row>
    <row r="183" spans="1:16" x14ac:dyDescent="0.25">
      <c r="A183">
        <v>202106</v>
      </c>
      <c r="B183" t="s">
        <v>12</v>
      </c>
      <c r="C183" t="s">
        <v>13</v>
      </c>
      <c r="D183" s="1">
        <v>346400000</v>
      </c>
      <c r="E183" t="s">
        <v>40</v>
      </c>
      <c r="F183" t="str">
        <f>_xlfn.TEXTBEFORE(E183,"_2021")</f>
        <v>ganancias_Modelo Final US 0.2 - Uso Meses Corridos V3 - Agrego a meses viejos seasonality</v>
      </c>
      <c r="G183" t="str">
        <f>_xlfn.CONCAT(F183,C183)</f>
        <v>ganancias_Modelo Final US 0.2 - Uso Meses Corridos V3 - Agrego a meses viejos seasonalityensamble_global</v>
      </c>
      <c r="P183" s="1">
        <f>SUMIFS(D:D,G:G,O183)</f>
        <v>0</v>
      </c>
    </row>
    <row r="184" spans="1:16" x14ac:dyDescent="0.25">
      <c r="A184">
        <v>202106</v>
      </c>
      <c r="B184" t="s">
        <v>14</v>
      </c>
      <c r="C184" t="s">
        <v>15</v>
      </c>
      <c r="D184" s="1">
        <v>346400000</v>
      </c>
      <c r="E184" t="s">
        <v>40</v>
      </c>
      <c r="F184" t="str">
        <f>_xlfn.TEXTBEFORE(E184,"_2021")</f>
        <v>ganancias_Modelo Final US 0.2 - Uso Meses Corridos V3 - Agrego a meses viejos seasonality</v>
      </c>
      <c r="G184" t="str">
        <f>_xlfn.CONCAT(F184,C184)</f>
        <v>ganancias_Modelo Final US 0.2 - Uso Meses Corridos V3 - Agrego a meses viejos seasonalityensamble_grupos</v>
      </c>
      <c r="P184" s="1">
        <f>SUMIFS(D:D,G:G,O184)</f>
        <v>0</v>
      </c>
    </row>
    <row r="185" spans="1:16" x14ac:dyDescent="0.25">
      <c r="A185">
        <v>202106</v>
      </c>
      <c r="B185" t="s">
        <v>62</v>
      </c>
      <c r="C185" t="s">
        <v>119</v>
      </c>
      <c r="D185" s="1">
        <v>346400000</v>
      </c>
      <c r="E185" t="s">
        <v>86</v>
      </c>
      <c r="F185" t="str">
        <f>_xlfn.TEXTBEFORE(E185,"_2021")</f>
        <v>ganancias_modelos</v>
      </c>
      <c r="G185" t="str">
        <f>_xlfn.CONCAT(F185,C185)</f>
        <v>ganancias_modelosseasonal_autumn_seed2</v>
      </c>
      <c r="P185" s="1">
        <f>SUMIFS(D:D,G:G,O185)</f>
        <v>0</v>
      </c>
    </row>
    <row r="186" spans="1:16" x14ac:dyDescent="0.25">
      <c r="A186">
        <v>202106</v>
      </c>
      <c r="B186" t="s">
        <v>84</v>
      </c>
      <c r="C186" t="s">
        <v>164</v>
      </c>
      <c r="D186" s="1">
        <v>346400000</v>
      </c>
      <c r="E186" t="s">
        <v>86</v>
      </c>
      <c r="F186" t="str">
        <f>_xlfn.TEXTBEFORE(E186,"_2021")</f>
        <v>ganancias_modelos</v>
      </c>
      <c r="G186" t="str">
        <f>_xlfn.CONCAT(F186,C186)</f>
        <v>ganancias_modelosmixed_full_year_seed3</v>
      </c>
      <c r="P186" s="1">
        <f>SUMIFS(D:D,G:G,O186)</f>
        <v>0</v>
      </c>
    </row>
    <row r="187" spans="1:16" x14ac:dyDescent="0.25">
      <c r="A187">
        <v>202106</v>
      </c>
      <c r="B187" t="s">
        <v>16</v>
      </c>
      <c r="C187" t="s">
        <v>17</v>
      </c>
      <c r="D187" s="1">
        <v>345600000</v>
      </c>
      <c r="E187" t="s">
        <v>18</v>
      </c>
      <c r="F187" t="str">
        <f>_xlfn.TEXTBEFORE(E187,"_2021")</f>
        <v>ganancias_Modelo Final US 0.2 - Uso Meses Corridos V2 - Pruebo Undersampling solo en Meses viejos V2</v>
      </c>
      <c r="G187" t="str">
        <f>_xlfn.CONCAT(F187,C187)</f>
        <v>ganancias_Modelo Final US 0.2 - Uso Meses Corridos V2 - Pruebo Undersampling solo en Meses viejos V2june_seed1</v>
      </c>
      <c r="P187" s="1">
        <f>SUMIFS(D:D,G:G,O187)</f>
        <v>0</v>
      </c>
    </row>
    <row r="188" spans="1:16" x14ac:dyDescent="0.25">
      <c r="A188">
        <v>202106</v>
      </c>
      <c r="B188" t="s">
        <v>16</v>
      </c>
      <c r="C188" t="s">
        <v>20</v>
      </c>
      <c r="D188" s="1">
        <v>344800000</v>
      </c>
      <c r="E188" t="s">
        <v>40</v>
      </c>
      <c r="F188" t="str">
        <f>_xlfn.TEXTBEFORE(E188,"_2021")</f>
        <v>ganancias_Modelo Final US 0.2 - Uso Meses Corridos V3 - Agrego a meses viejos seasonality</v>
      </c>
      <c r="G188" t="str">
        <f>_xlfn.CONCAT(F188,C188)</f>
        <v>ganancias_Modelo Final US 0.2 - Uso Meses Corridos V3 - Agrego a meses viejos seasonalityjune_seed3</v>
      </c>
      <c r="P188" s="1">
        <f>SUMIFS(D:D,G:G,O188)</f>
        <v>0</v>
      </c>
    </row>
    <row r="189" spans="1:16" x14ac:dyDescent="0.25">
      <c r="A189">
        <v>202106</v>
      </c>
      <c r="B189" t="s">
        <v>74</v>
      </c>
      <c r="C189" t="s">
        <v>75</v>
      </c>
      <c r="D189" s="1">
        <v>344800000</v>
      </c>
      <c r="E189" t="s">
        <v>86</v>
      </c>
      <c r="F189" t="str">
        <f>_xlfn.TEXTBEFORE(E189,"_2021")</f>
        <v>ganancias_modelos</v>
      </c>
      <c r="G189" t="str">
        <f>_xlfn.CONCAT(F189,C189)</f>
        <v>ganancias_modelosmixed_recent_01_seed1</v>
      </c>
      <c r="P189" s="1">
        <f>SUMIFS(D:D,G:G,O189)</f>
        <v>0</v>
      </c>
    </row>
    <row r="190" spans="1:16" x14ac:dyDescent="0.25">
      <c r="A190">
        <v>202106</v>
      </c>
      <c r="B190" t="s">
        <v>74</v>
      </c>
      <c r="C190" t="s">
        <v>146</v>
      </c>
      <c r="D190" s="1">
        <v>344800000</v>
      </c>
      <c r="E190" t="s">
        <v>86</v>
      </c>
      <c r="F190" t="str">
        <f>_xlfn.TEXTBEFORE(E190,"_2021")</f>
        <v>ganancias_modelos</v>
      </c>
      <c r="G190" t="str">
        <f>_xlfn.CONCAT(F190,C190)</f>
        <v>ganancias_modelosmixed_recent_01_seed5</v>
      </c>
      <c r="P190" s="1">
        <f>SUMIFS(D:D,G:G,O190)</f>
        <v>0</v>
      </c>
    </row>
    <row r="191" spans="1:16" x14ac:dyDescent="0.25">
      <c r="A191">
        <v>202106</v>
      </c>
      <c r="B191" t="s">
        <v>76</v>
      </c>
      <c r="C191" t="s">
        <v>149</v>
      </c>
      <c r="D191" s="1">
        <v>344800000</v>
      </c>
      <c r="E191" t="s">
        <v>86</v>
      </c>
      <c r="F191" t="str">
        <f>_xlfn.TEXTBEFORE(E191,"_2021")</f>
        <v>ganancias_modelos</v>
      </c>
      <c r="G191" t="str">
        <f>_xlfn.CONCAT(F191,C191)</f>
        <v>ganancias_modelosmixed_recent_02_seed4</v>
      </c>
      <c r="P191" s="1">
        <f>SUMIFS(D:D,G:G,O191)</f>
        <v>0</v>
      </c>
    </row>
    <row r="192" spans="1:16" x14ac:dyDescent="0.25">
      <c r="A192">
        <v>202106</v>
      </c>
      <c r="B192" t="s">
        <v>62</v>
      </c>
      <c r="C192" t="s">
        <v>120</v>
      </c>
      <c r="D192" s="1">
        <v>344000000</v>
      </c>
      <c r="E192" t="s">
        <v>86</v>
      </c>
      <c r="F192" t="str">
        <f>_xlfn.TEXTBEFORE(E192,"_2021")</f>
        <v>ganancias_modelos</v>
      </c>
      <c r="G192" t="str">
        <f>_xlfn.CONCAT(F192,C192)</f>
        <v>ganancias_modelosseasonal_autumn_seed3</v>
      </c>
      <c r="P192" s="1">
        <f>SUMIFS(D:D,G:G,O192)</f>
        <v>0</v>
      </c>
    </row>
    <row r="193" spans="1:16" x14ac:dyDescent="0.25">
      <c r="A193">
        <v>202106</v>
      </c>
      <c r="B193" t="s">
        <v>74</v>
      </c>
      <c r="C193" t="s">
        <v>145</v>
      </c>
      <c r="D193" s="1">
        <v>343200000</v>
      </c>
      <c r="E193" t="s">
        <v>86</v>
      </c>
      <c r="F193" t="str">
        <f>_xlfn.TEXTBEFORE(E193,"_2021")</f>
        <v>ganancias_modelos</v>
      </c>
      <c r="G193" t="str">
        <f>_xlfn.CONCAT(F193,C193)</f>
        <v>ganancias_modelosmixed_recent_01_seed4</v>
      </c>
      <c r="P193" s="1">
        <f>SUMIFS(D:D,G:G,O193)</f>
        <v>0</v>
      </c>
    </row>
    <row r="194" spans="1:16" x14ac:dyDescent="0.25">
      <c r="A194">
        <v>202106</v>
      </c>
      <c r="B194" t="s">
        <v>84</v>
      </c>
      <c r="C194" t="s">
        <v>85</v>
      </c>
      <c r="D194" s="1">
        <v>343200000</v>
      </c>
      <c r="E194" t="s">
        <v>86</v>
      </c>
      <c r="F194" t="str">
        <f>_xlfn.TEXTBEFORE(E194,"_2021")</f>
        <v>ganancias_modelos</v>
      </c>
      <c r="G194" t="str">
        <f>_xlfn.CONCAT(F194,C194)</f>
        <v>ganancias_modelosmixed_full_year_seed1</v>
      </c>
      <c r="P194" s="1">
        <f>SUMIFS(D:D,G:G,O194)</f>
        <v>0</v>
      </c>
    </row>
    <row r="195" spans="1:16" x14ac:dyDescent="0.25">
      <c r="A195">
        <v>202106</v>
      </c>
      <c r="B195" t="s">
        <v>16</v>
      </c>
      <c r="C195" t="s">
        <v>17</v>
      </c>
      <c r="D195" s="1">
        <v>342400000</v>
      </c>
      <c r="E195" t="s">
        <v>40</v>
      </c>
      <c r="F195" t="str">
        <f>_xlfn.TEXTBEFORE(E195,"_2021")</f>
        <v>ganancias_Modelo Final US 0.2 - Uso Meses Corridos V3 - Agrego a meses viejos seasonality</v>
      </c>
      <c r="G195" t="str">
        <f>_xlfn.CONCAT(F195,C195)</f>
        <v>ganancias_Modelo Final US 0.2 - Uso Meses Corridos V3 - Agrego a meses viejos seasonalityjune_seed1</v>
      </c>
      <c r="P195" s="1">
        <f>SUMIFS(D:D,G:G,O195)</f>
        <v>0</v>
      </c>
    </row>
    <row r="196" spans="1:16" x14ac:dyDescent="0.25">
      <c r="A196">
        <v>202106</v>
      </c>
      <c r="B196" t="s">
        <v>52</v>
      </c>
      <c r="C196" t="s">
        <v>99</v>
      </c>
      <c r="D196" s="1">
        <v>340800000</v>
      </c>
      <c r="E196" t="s">
        <v>86</v>
      </c>
      <c r="F196" t="str">
        <f>_xlfn.TEXTBEFORE(E196,"_2021")</f>
        <v>ganancias_modelos</v>
      </c>
      <c r="G196" t="str">
        <f>_xlfn.CONCAT(F196,C196)</f>
        <v>ganancias_modelosrolling_04_seed2</v>
      </c>
      <c r="P196" s="1">
        <f>SUMIFS(D:D,G:G,O196)</f>
        <v>0</v>
      </c>
    </row>
    <row r="197" spans="1:16" x14ac:dyDescent="0.25">
      <c r="A197">
        <v>202106</v>
      </c>
      <c r="B197" t="s">
        <v>54</v>
      </c>
      <c r="C197" t="s">
        <v>103</v>
      </c>
      <c r="D197" s="1">
        <v>340000000</v>
      </c>
      <c r="E197" t="s">
        <v>86</v>
      </c>
      <c r="F197" t="str">
        <f>_xlfn.TEXTBEFORE(E197,"_2021")</f>
        <v>ganancias_modelos</v>
      </c>
      <c r="G197" t="str">
        <f>_xlfn.CONCAT(F197,C197)</f>
        <v>ganancias_modelosrolling_05_seed2</v>
      </c>
      <c r="P197" s="1">
        <f>SUMIFS(D:D,G:G,O197)</f>
        <v>0</v>
      </c>
    </row>
    <row r="198" spans="1:16" x14ac:dyDescent="0.25">
      <c r="A198">
        <v>202106</v>
      </c>
      <c r="B198" t="s">
        <v>58</v>
      </c>
      <c r="C198" t="s">
        <v>112</v>
      </c>
      <c r="D198" s="1">
        <v>340000000</v>
      </c>
      <c r="E198" t="s">
        <v>86</v>
      </c>
      <c r="F198" t="str">
        <f>_xlfn.TEXTBEFORE(E198,"_2021")</f>
        <v>ganancias_modelos</v>
      </c>
      <c r="G198" t="str">
        <f>_xlfn.CONCAT(F198,C198)</f>
        <v>ganancias_modelosrolling_07_seed3</v>
      </c>
      <c r="P198" s="1">
        <f>SUMIFS(D:D,G:G,O198)</f>
        <v>0</v>
      </c>
    </row>
    <row r="199" spans="1:16" x14ac:dyDescent="0.25">
      <c r="A199">
        <v>202106</v>
      </c>
      <c r="B199" t="s">
        <v>54</v>
      </c>
      <c r="C199" t="s">
        <v>105</v>
      </c>
      <c r="D199" s="1">
        <v>339200000</v>
      </c>
      <c r="E199" t="s">
        <v>86</v>
      </c>
      <c r="F199" t="str">
        <f>_xlfn.TEXTBEFORE(E199,"_2021")</f>
        <v>ganancias_modelos</v>
      </c>
      <c r="G199" t="str">
        <f>_xlfn.CONCAT(F199,C199)</f>
        <v>ganancias_modelosrolling_05_seed4</v>
      </c>
      <c r="P199" s="1">
        <f>SUMIFS(D:D,G:G,O199)</f>
        <v>0</v>
      </c>
    </row>
    <row r="200" spans="1:16" x14ac:dyDescent="0.25">
      <c r="A200">
        <v>202106</v>
      </c>
      <c r="B200" t="s">
        <v>16</v>
      </c>
      <c r="C200" t="s">
        <v>19</v>
      </c>
      <c r="D200" s="1">
        <v>338400000</v>
      </c>
      <c r="E200" t="s">
        <v>40</v>
      </c>
      <c r="F200" t="str">
        <f>_xlfn.TEXTBEFORE(E200,"_2021")</f>
        <v>ganancias_Modelo Final US 0.2 - Uso Meses Corridos V3 - Agrego a meses viejos seasonality</v>
      </c>
      <c r="G200" t="str">
        <f>_xlfn.CONCAT(F200,C200)</f>
        <v>ganancias_Modelo Final US 0.2 - Uso Meses Corridos V3 - Agrego a meses viejos seasonalityjune_seed2</v>
      </c>
      <c r="P200" s="1">
        <f>SUMIFS(D:D,G:G,O200)</f>
        <v>0</v>
      </c>
    </row>
    <row r="201" spans="1:16" x14ac:dyDescent="0.25">
      <c r="A201">
        <v>202106</v>
      </c>
      <c r="B201" t="s">
        <v>66</v>
      </c>
      <c r="C201" t="s">
        <v>67</v>
      </c>
      <c r="D201" s="1">
        <v>338400000</v>
      </c>
      <c r="E201" t="s">
        <v>86</v>
      </c>
      <c r="F201" t="str">
        <f>_xlfn.TEXTBEFORE(E201,"_2021")</f>
        <v>ganancias_modelos</v>
      </c>
      <c r="G201" t="str">
        <f>_xlfn.CONCAT(F201,C201)</f>
        <v>ganancias_modelosseasonal_spring_seed1</v>
      </c>
      <c r="P201" s="1">
        <f>SUMIFS(D:D,G:G,O201)</f>
        <v>0</v>
      </c>
    </row>
    <row r="202" spans="1:16" x14ac:dyDescent="0.25">
      <c r="A202">
        <v>202106</v>
      </c>
      <c r="B202" t="s">
        <v>52</v>
      </c>
      <c r="C202" t="s">
        <v>102</v>
      </c>
      <c r="D202" s="1">
        <v>336800000</v>
      </c>
      <c r="E202" t="s">
        <v>86</v>
      </c>
      <c r="F202" t="str">
        <f>_xlfn.TEXTBEFORE(E202,"_2021")</f>
        <v>ganancias_modelos</v>
      </c>
      <c r="G202" t="str">
        <f>_xlfn.CONCAT(F202,C202)</f>
        <v>ganancias_modelosrolling_04_seed5</v>
      </c>
      <c r="P202" s="1">
        <f>SUMIFS(D:D,G:G,O202)</f>
        <v>0</v>
      </c>
    </row>
    <row r="203" spans="1:16" x14ac:dyDescent="0.25">
      <c r="A203">
        <v>202106</v>
      </c>
      <c r="B203" t="s">
        <v>58</v>
      </c>
      <c r="C203" t="s">
        <v>113</v>
      </c>
      <c r="D203" s="1">
        <v>336800000</v>
      </c>
      <c r="E203" t="s">
        <v>86</v>
      </c>
      <c r="F203" t="str">
        <f>_xlfn.TEXTBEFORE(E203,"_2021")</f>
        <v>ganancias_modelos</v>
      </c>
      <c r="G203" t="str">
        <f>_xlfn.CONCAT(F203,C203)</f>
        <v>ganancias_modelosrolling_07_seed4</v>
      </c>
      <c r="P203" s="1">
        <f>SUMIFS(D:D,G:G,O203)</f>
        <v>0</v>
      </c>
    </row>
    <row r="204" spans="1:16" x14ac:dyDescent="0.25">
      <c r="A204">
        <v>202106</v>
      </c>
      <c r="B204" t="s">
        <v>52</v>
      </c>
      <c r="C204" t="s">
        <v>100</v>
      </c>
      <c r="D204" s="1">
        <v>336000000</v>
      </c>
      <c r="E204" t="s">
        <v>86</v>
      </c>
      <c r="F204" t="str">
        <f>_xlfn.TEXTBEFORE(E204,"_2021")</f>
        <v>ganancias_modelos</v>
      </c>
      <c r="G204" t="str">
        <f>_xlfn.CONCAT(F204,C204)</f>
        <v>ganancias_modelosrolling_04_seed3</v>
      </c>
      <c r="P204" s="1">
        <f>SUMIFS(D:D,G:G,O204)</f>
        <v>0</v>
      </c>
    </row>
    <row r="205" spans="1:16" x14ac:dyDescent="0.25">
      <c r="A205">
        <v>202106</v>
      </c>
      <c r="B205" t="s">
        <v>76</v>
      </c>
      <c r="C205" t="s">
        <v>148</v>
      </c>
      <c r="D205" s="1">
        <v>336000000</v>
      </c>
      <c r="E205" t="s">
        <v>86</v>
      </c>
      <c r="F205" t="str">
        <f>_xlfn.TEXTBEFORE(E205,"_2021")</f>
        <v>ganancias_modelos</v>
      </c>
      <c r="G205" t="str">
        <f>_xlfn.CONCAT(F205,C205)</f>
        <v>ganancias_modelosmixed_recent_02_seed3</v>
      </c>
      <c r="P205" s="1">
        <f>SUMIFS(D:D,G:G,O205)</f>
        <v>0</v>
      </c>
    </row>
    <row r="206" spans="1:16" x14ac:dyDescent="0.25">
      <c r="A206">
        <v>202106</v>
      </c>
      <c r="B206" t="s">
        <v>76</v>
      </c>
      <c r="C206" t="s">
        <v>150</v>
      </c>
      <c r="D206" s="1">
        <v>332000000</v>
      </c>
      <c r="E206" t="s">
        <v>86</v>
      </c>
      <c r="F206" t="str">
        <f>_xlfn.TEXTBEFORE(E206,"_2021")</f>
        <v>ganancias_modelos</v>
      </c>
      <c r="G206" t="str">
        <f>_xlfn.CONCAT(F206,C206)</f>
        <v>ganancias_modelosmixed_recent_02_seed5</v>
      </c>
      <c r="P206" s="1">
        <f>SUMIFS(D:D,G:G,O206)</f>
        <v>0</v>
      </c>
    </row>
    <row r="207" spans="1:16" x14ac:dyDescent="0.25">
      <c r="A207">
        <v>202106</v>
      </c>
      <c r="B207" t="s">
        <v>52</v>
      </c>
      <c r="C207" t="s">
        <v>101</v>
      </c>
      <c r="D207" s="1">
        <v>330400000</v>
      </c>
      <c r="E207" t="s">
        <v>86</v>
      </c>
      <c r="F207" t="str">
        <f>_xlfn.TEXTBEFORE(E207,"_2021")</f>
        <v>ganancias_modelos</v>
      </c>
      <c r="G207" t="str">
        <f>_xlfn.CONCAT(F207,C207)</f>
        <v>ganancias_modelosrolling_04_seed4</v>
      </c>
      <c r="P207" s="1">
        <f>SUMIFS(D:D,G:G,O207)</f>
        <v>0</v>
      </c>
    </row>
    <row r="208" spans="1:16" x14ac:dyDescent="0.25">
      <c r="A208">
        <v>202106</v>
      </c>
      <c r="B208" t="s">
        <v>76</v>
      </c>
      <c r="C208" t="s">
        <v>147</v>
      </c>
      <c r="D208" s="1">
        <v>327200000</v>
      </c>
      <c r="E208" t="s">
        <v>86</v>
      </c>
      <c r="F208" t="str">
        <f>_xlfn.TEXTBEFORE(E208,"_2021")</f>
        <v>ganancias_modelos</v>
      </c>
      <c r="G208" t="str">
        <f>_xlfn.CONCAT(F208,C208)</f>
        <v>ganancias_modelosmixed_recent_02_seed2</v>
      </c>
      <c r="P208" s="1">
        <f>SUMIFS(D:D,G:G,O208)</f>
        <v>0</v>
      </c>
    </row>
    <row r="209" spans="1:16" x14ac:dyDescent="0.25">
      <c r="A209">
        <v>202106</v>
      </c>
      <c r="B209" t="s">
        <v>52</v>
      </c>
      <c r="C209" t="s">
        <v>53</v>
      </c>
      <c r="D209" s="1">
        <v>326400000</v>
      </c>
      <c r="E209" t="s">
        <v>86</v>
      </c>
      <c r="F209" t="str">
        <f>_xlfn.TEXTBEFORE(E209,"_2021")</f>
        <v>ganancias_modelos</v>
      </c>
      <c r="G209" t="str">
        <f>_xlfn.CONCAT(F209,C209)</f>
        <v>ganancias_modelosrolling_04_seed1</v>
      </c>
      <c r="P209" s="1">
        <f>SUMIFS(D:D,G:G,O209)</f>
        <v>0</v>
      </c>
    </row>
    <row r="210" spans="1:16" x14ac:dyDescent="0.25">
      <c r="P210" s="1">
        <f>SUMIFS(D:D,G:G,O210)</f>
        <v>0</v>
      </c>
    </row>
  </sheetData>
  <autoFilter ref="A1:G209" xr:uid="{7682FD4D-00CD-4309-AC83-2939A5637A18}">
    <sortState xmlns:xlrd2="http://schemas.microsoft.com/office/spreadsheetml/2017/richdata2" ref="A2:G20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datos_combinados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Nicolás Caricati</cp:lastModifiedBy>
  <dcterms:created xsi:type="dcterms:W3CDTF">2025-11-20T01:34:48Z</dcterms:created>
  <dcterms:modified xsi:type="dcterms:W3CDTF">2025-11-20T01:34:48Z</dcterms:modified>
</cp:coreProperties>
</file>