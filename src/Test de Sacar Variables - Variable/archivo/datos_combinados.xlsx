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esktop\Test de Sacar Variables\"/>
    </mc:Choice>
  </mc:AlternateContent>
  <xr:revisionPtr revIDLastSave="0" documentId="13_ncr:1_{EF742DF2-C0EB-494D-9BB9-9C5E405727FF}" xr6:coauthVersionLast="47" xr6:coauthVersionMax="47" xr10:uidLastSave="{00000000-0000-0000-0000-000000000000}"/>
  <bookViews>
    <workbookView xWindow="-105" yWindow="0" windowWidth="14610" windowHeight="15585" xr2:uid="{A0DA8A82-39AF-48AA-8AF7-42BE9E1F1568}"/>
  </bookViews>
  <sheets>
    <sheet name="datos_combinados" sheetId="1" r:id="rId1"/>
  </sheets>
  <definedNames>
    <definedName name="_xlnm._FilterDatabase" localSheetId="0" hidden="1">datos_combinados!$S$1:$T$1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29" i="1"/>
  <c r="T30" i="1"/>
  <c r="T27" i="1"/>
  <c r="T25" i="1"/>
  <c r="T19" i="1"/>
  <c r="T28" i="1"/>
  <c r="T21" i="1"/>
  <c r="T26" i="1"/>
  <c r="T23" i="1"/>
  <c r="T12" i="1"/>
  <c r="T13" i="1"/>
  <c r="T10" i="1"/>
  <c r="T17" i="1"/>
  <c r="T24" i="1"/>
  <c r="T6" i="1"/>
  <c r="T11" i="1"/>
  <c r="T20" i="1"/>
  <c r="T18" i="1"/>
  <c r="T15" i="1"/>
  <c r="T8" i="1"/>
  <c r="T7" i="1"/>
  <c r="T22" i="1"/>
  <c r="T16" i="1"/>
  <c r="T4" i="1"/>
  <c r="T14" i="1"/>
  <c r="T5" i="1"/>
  <c r="T3" i="1"/>
  <c r="T9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<sst xmlns="http://schemas.openxmlformats.org/spreadsheetml/2006/main" count="123" uniqueCount="38">
  <si>
    <t>study_name</t>
  </si>
  <si>
    <t>foto_mes_test</t>
  </si>
  <si>
    <t>ganancia_test</t>
  </si>
  <si>
    <t>predicciones_positivas</t>
  </si>
  <si>
    <t>porcentaje_positivas</t>
  </si>
  <si>
    <t>ganancia_optima_promedio</t>
  </si>
  <si>
    <t>clientes_optimos</t>
  </si>
  <si>
    <t>Pruebo sacando variables_V2__sin_tarjetas_pagos</t>
  </si>
  <si>
    <t>Pruebo sacando variables_V2__sin_inversiones</t>
  </si>
  <si>
    <t>Pruebo sacando variables_V2__sin_payroll</t>
  </si>
  <si>
    <t>Pruebo sacando variables_V2__sin_transferencias</t>
  </si>
  <si>
    <t>Pruebo sacando variables_V2__sin_tarjetas_consumos</t>
  </si>
  <si>
    <t>Pruebo sacando variables_V2__sin_tarjetas_saldos</t>
  </si>
  <si>
    <t>Pruebo sacando variables_V2__sin_prestamos</t>
  </si>
  <si>
    <t>Pruebo sacando variables_V2__sin_tarjetas_adelantos</t>
  </si>
  <si>
    <t>Pruebo sacando variables_V2__sin_seguros</t>
  </si>
  <si>
    <t>Pruebo sacando variables_V2__sin_tarjeta_debito</t>
  </si>
  <si>
    <t>Pruebo sacando variables_V2__sin_tarjeta_master</t>
  </si>
  <si>
    <t>Pruebo sacando variables_V2__sin_cuentas_saldo</t>
  </si>
  <si>
    <t>Pruebo sacando variables_V2__sin_atm_autoservicio</t>
  </si>
  <si>
    <t>Pruebo sacando variables_V2__sin_debitos_automaticos</t>
  </si>
  <si>
    <t>Pruebo sacando variables_V2__sin_caja_ahorro</t>
  </si>
  <si>
    <t>Pruebo sacando variables_V2__sin_tarjeta_visa</t>
  </si>
  <si>
    <t>Pruebo sacando variables_V2__sin_forex</t>
  </si>
  <si>
    <t>Pruebo sacando variables_V2__sin_cajas</t>
  </si>
  <si>
    <t>Pruebo sacando variables_V2__sin_indicadores_financieros</t>
  </si>
  <si>
    <t>Pruebo sacando variables_V2__sin_canales_digitales</t>
  </si>
  <si>
    <t>Pruebo sacando variables_V2__sin_tarjetas_fechas_y_estado</t>
  </si>
  <si>
    <t>Pruebo sacando variables_V2__sin_cliente_vip</t>
  </si>
  <si>
    <t>Pruebo sacando variables_V2__sin_comisiones_mantenimiento</t>
  </si>
  <si>
    <t>Pruebo sacando variables_V2__sin_tarjetas_limites</t>
  </si>
  <si>
    <t>Pruebo sacando variables_V2__sin_comisiones_otras</t>
  </si>
  <si>
    <t>Pruebo sacando variables_V2__sin_cuenta_corriente</t>
  </si>
  <si>
    <t>Pruebo sacando variables_V2__sin_pagos</t>
  </si>
  <si>
    <t>Pruebo sacando variables_V2 (Base)</t>
  </si>
  <si>
    <t>Base</t>
  </si>
  <si>
    <t>Var Group</t>
  </si>
  <si>
    <t>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</si>
</sst>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6" fillId="2" borderId="0" xfId="7"/>
    <xf numFmtId="0" fontId="8" fillId="4" borderId="0" xfId="9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D3B5-799C-4503-87EA-1579D1BCE507}">
  <dimension ref="A1:T85"/>
  <sheetViews>
    <sheetView tabSelected="1" topLeftCell="N1" workbookViewId="0">
      <selection activeCell="U2" sqref="U2"/>
    </sheetView>
  </sheetViews>
  <sheetFormatPr defaultRowHeight="15" x14ac:dyDescent="0.25"/>
  <cols>
    <col min="1" max="1" width="58.42578125" bestFit="1" customWidth="1"/>
    <col min="2" max="2" width="13.140625" bestFit="1" customWidth="1"/>
    <col min="3" max="3" width="13.42578125" bestFit="1" customWidth="1"/>
    <col min="4" max="4" width="21.7109375" bestFit="1" customWidth="1"/>
    <col min="5" max="5" width="19.5703125" bestFit="1" customWidth="1"/>
    <col min="6" max="6" width="26.42578125" bestFit="1" customWidth="1"/>
    <col min="7" max="7" width="11.5703125" bestFit="1" customWidth="1"/>
    <col min="8" max="8" width="16.140625" bestFit="1" customWidth="1"/>
    <col min="12" max="12" width="7" bestFit="1" customWidth="1"/>
    <col min="13" max="13" width="12.5703125" bestFit="1" customWidth="1"/>
    <col min="19" max="19" width="58.42578125" bestFit="1" customWidth="1"/>
    <col min="20" max="20" width="11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  <c r="H1" t="s">
        <v>6</v>
      </c>
      <c r="S1" t="s">
        <v>36</v>
      </c>
      <c r="T1" t="s">
        <v>37</v>
      </c>
    </row>
    <row r="2" spans="1:20" x14ac:dyDescent="0.25">
      <c r="A2" s="2" t="s">
        <v>31</v>
      </c>
      <c r="B2">
        <v>202104</v>
      </c>
      <c r="C2">
        <v>2147480000</v>
      </c>
      <c r="D2">
        <v>8609</v>
      </c>
      <c r="E2">
        <v>5.2680855230145998</v>
      </c>
      <c r="F2" s="1">
        <v>355280000</v>
      </c>
      <c r="G2" s="1">
        <f>F2-_xlfn.XLOOKUP(B2,L:L,M:M)</f>
        <v>5160000</v>
      </c>
      <c r="H2">
        <v>10867</v>
      </c>
      <c r="L2">
        <v>202104</v>
      </c>
      <c r="M2" s="1">
        <v>350120000</v>
      </c>
      <c r="S2" t="s">
        <v>13</v>
      </c>
      <c r="T2" s="1">
        <f>SUMIFS(G:G,A:A,S2)</f>
        <v>11920000</v>
      </c>
    </row>
    <row r="3" spans="1:20" x14ac:dyDescent="0.25">
      <c r="A3" s="2" t="s">
        <v>28</v>
      </c>
      <c r="B3">
        <v>202104</v>
      </c>
      <c r="C3">
        <v>2147300000</v>
      </c>
      <c r="D3">
        <v>8536</v>
      </c>
      <c r="E3">
        <v>5.2234148013070696</v>
      </c>
      <c r="F3" s="1">
        <v>353940000</v>
      </c>
      <c r="G3" s="1">
        <f t="shared" ref="G3:G66" si="0">F3-_xlfn.XLOOKUP(B3,L:L,M:M)</f>
        <v>3820000</v>
      </c>
      <c r="H3">
        <v>10986</v>
      </c>
      <c r="L3">
        <v>202105</v>
      </c>
      <c r="M3" s="1">
        <v>193520000</v>
      </c>
      <c r="S3" t="s">
        <v>31</v>
      </c>
      <c r="T3" s="1">
        <f>SUMIFS(G:G,A:A,S3)</f>
        <v>6820000</v>
      </c>
    </row>
    <row r="4" spans="1:20" x14ac:dyDescent="0.25">
      <c r="A4" s="2" t="s">
        <v>24</v>
      </c>
      <c r="B4">
        <v>202104</v>
      </c>
      <c r="C4">
        <v>2147180000</v>
      </c>
      <c r="D4">
        <v>8539</v>
      </c>
      <c r="E4">
        <v>5.22525058439094</v>
      </c>
      <c r="F4" s="1">
        <v>352360000</v>
      </c>
      <c r="G4" s="1">
        <f t="shared" si="0"/>
        <v>2240000</v>
      </c>
      <c r="H4">
        <v>10929</v>
      </c>
      <c r="L4">
        <v>202106</v>
      </c>
      <c r="M4" s="1">
        <v>326440000</v>
      </c>
      <c r="S4" t="s">
        <v>23</v>
      </c>
      <c r="T4" s="1">
        <f>SUMIFS(G:G,A:A,S4)</f>
        <v>1400000</v>
      </c>
    </row>
    <row r="5" spans="1:20" x14ac:dyDescent="0.25">
      <c r="A5" s="2" t="s">
        <v>23</v>
      </c>
      <c r="B5">
        <v>202104</v>
      </c>
      <c r="C5">
        <v>2147380000</v>
      </c>
      <c r="D5">
        <v>8510</v>
      </c>
      <c r="E5">
        <v>5.2075046812468599</v>
      </c>
      <c r="F5" s="1">
        <v>352040000</v>
      </c>
      <c r="G5" s="1">
        <f t="shared" si="0"/>
        <v>1920000</v>
      </c>
      <c r="H5">
        <v>10265</v>
      </c>
      <c r="S5" t="s">
        <v>28</v>
      </c>
      <c r="T5" s="1">
        <f>SUMIFS(G:G,A:A,S5)</f>
        <v>660000</v>
      </c>
    </row>
    <row r="6" spans="1:20" x14ac:dyDescent="0.25">
      <c r="A6" s="2" t="s">
        <v>22</v>
      </c>
      <c r="B6">
        <v>202104</v>
      </c>
      <c r="C6">
        <v>2147200000</v>
      </c>
      <c r="D6">
        <v>8589</v>
      </c>
      <c r="E6">
        <v>5.2558469691221203</v>
      </c>
      <c r="F6" s="1">
        <v>352040000</v>
      </c>
      <c r="G6" s="1">
        <f t="shared" si="0"/>
        <v>1920000</v>
      </c>
      <c r="H6">
        <v>10693</v>
      </c>
      <c r="S6" t="s">
        <v>14</v>
      </c>
      <c r="T6" s="1">
        <f>SUMIFS(G:G,A:A,S6)</f>
        <v>460000</v>
      </c>
    </row>
    <row r="7" spans="1:20" x14ac:dyDescent="0.25">
      <c r="A7" s="2" t="s">
        <v>26</v>
      </c>
      <c r="B7">
        <v>202104</v>
      </c>
      <c r="C7">
        <v>2147480000</v>
      </c>
      <c r="D7">
        <v>8730</v>
      </c>
      <c r="E7">
        <v>5.34212877406405</v>
      </c>
      <c r="F7" s="1">
        <v>352020000</v>
      </c>
      <c r="G7" s="1">
        <f t="shared" si="0"/>
        <v>1900000</v>
      </c>
      <c r="H7">
        <v>11086</v>
      </c>
      <c r="S7" t="s">
        <v>21</v>
      </c>
      <c r="T7" s="1">
        <f>SUMIFS(G:G,A:A,S7)</f>
        <v>420000</v>
      </c>
    </row>
    <row r="8" spans="1:20" x14ac:dyDescent="0.25">
      <c r="A8" s="2" t="s">
        <v>21</v>
      </c>
      <c r="B8">
        <v>202104</v>
      </c>
      <c r="C8">
        <v>2147240000</v>
      </c>
      <c r="D8">
        <v>8769</v>
      </c>
      <c r="E8">
        <v>5.3659939541543702</v>
      </c>
      <c r="F8" s="1">
        <v>351960000</v>
      </c>
      <c r="G8" s="1">
        <f t="shared" si="0"/>
        <v>1840000</v>
      </c>
      <c r="H8">
        <v>10821</v>
      </c>
      <c r="S8" t="s">
        <v>16</v>
      </c>
      <c r="T8" s="1">
        <f>SUMIFS(G:G,A:A,S8)</f>
        <v>320000</v>
      </c>
    </row>
    <row r="9" spans="1:20" x14ac:dyDescent="0.25">
      <c r="A9" s="2" t="s">
        <v>16</v>
      </c>
      <c r="B9">
        <v>202104</v>
      </c>
      <c r="C9">
        <v>2147080000</v>
      </c>
      <c r="D9">
        <v>8600</v>
      </c>
      <c r="E9">
        <v>5.2625781737629804</v>
      </c>
      <c r="F9" s="1">
        <v>351400000</v>
      </c>
      <c r="G9" s="1">
        <f t="shared" si="0"/>
        <v>1280000</v>
      </c>
      <c r="H9">
        <v>11305</v>
      </c>
      <c r="S9" t="s">
        <v>0</v>
      </c>
      <c r="T9">
        <f>SUMIFS(G:G,A:A,S9)</f>
        <v>0</v>
      </c>
    </row>
    <row r="10" spans="1:20" x14ac:dyDescent="0.25">
      <c r="A10" s="3" t="s">
        <v>30</v>
      </c>
      <c r="B10">
        <v>202104</v>
      </c>
      <c r="C10">
        <v>2147240000</v>
      </c>
      <c r="D10">
        <v>9024</v>
      </c>
      <c r="E10">
        <v>5.5220355162833901</v>
      </c>
      <c r="F10" s="1">
        <v>351360000</v>
      </c>
      <c r="G10" s="1">
        <f t="shared" si="0"/>
        <v>1240000</v>
      </c>
      <c r="H10">
        <v>10063</v>
      </c>
      <c r="S10" t="s">
        <v>34</v>
      </c>
      <c r="T10" s="1">
        <f>SUMIFS(G:G,A:A,S10)</f>
        <v>0</v>
      </c>
    </row>
    <row r="11" spans="1:20" x14ac:dyDescent="0.25">
      <c r="A11" s="3" t="s">
        <v>33</v>
      </c>
      <c r="B11">
        <v>202104</v>
      </c>
      <c r="C11">
        <v>2147480000</v>
      </c>
      <c r="D11">
        <v>8446</v>
      </c>
      <c r="E11">
        <v>5.16834130879095</v>
      </c>
      <c r="F11" s="1">
        <v>350960000</v>
      </c>
      <c r="G11" s="1">
        <f t="shared" si="0"/>
        <v>840000</v>
      </c>
      <c r="H11">
        <v>10115</v>
      </c>
      <c r="S11" t="s">
        <v>17</v>
      </c>
      <c r="T11" s="1">
        <f>SUMIFS(G:G,A:A,S11)</f>
        <v>-160000</v>
      </c>
    </row>
    <row r="12" spans="1:20" x14ac:dyDescent="0.25">
      <c r="A12" s="3" t="s">
        <v>15</v>
      </c>
      <c r="B12">
        <v>202104</v>
      </c>
      <c r="C12">
        <v>2147480000</v>
      </c>
      <c r="D12">
        <v>8562</v>
      </c>
      <c r="E12">
        <v>5.2393249213672899</v>
      </c>
      <c r="F12" s="1">
        <v>350960000</v>
      </c>
      <c r="G12" s="1">
        <f t="shared" si="0"/>
        <v>840000</v>
      </c>
      <c r="H12">
        <v>10387</v>
      </c>
      <c r="S12" t="s">
        <v>12</v>
      </c>
      <c r="T12" s="1">
        <f>SUMIFS(G:G,A:A,S12)</f>
        <v>-760000</v>
      </c>
    </row>
    <row r="13" spans="1:20" x14ac:dyDescent="0.25">
      <c r="A13" s="3" t="s">
        <v>17</v>
      </c>
      <c r="B13">
        <v>202104</v>
      </c>
      <c r="C13">
        <v>2147100000</v>
      </c>
      <c r="D13">
        <v>8597</v>
      </c>
      <c r="E13">
        <v>5.26074239067911</v>
      </c>
      <c r="F13" s="1">
        <v>350740000</v>
      </c>
      <c r="G13" s="1">
        <f t="shared" si="0"/>
        <v>620000</v>
      </c>
      <c r="H13">
        <v>9658</v>
      </c>
      <c r="S13" t="s">
        <v>20</v>
      </c>
      <c r="T13" s="1">
        <f>SUMIFS(G:G,A:A,S13)</f>
        <v>-820000</v>
      </c>
    </row>
    <row r="14" spans="1:20" x14ac:dyDescent="0.25">
      <c r="A14" s="3" t="s">
        <v>14</v>
      </c>
      <c r="B14">
        <v>202104</v>
      </c>
      <c r="C14">
        <v>2147480000</v>
      </c>
      <c r="D14">
        <v>8538</v>
      </c>
      <c r="E14">
        <v>5.2246386566963201</v>
      </c>
      <c r="F14" s="1">
        <v>350660000</v>
      </c>
      <c r="G14" s="1">
        <f t="shared" si="0"/>
        <v>540000</v>
      </c>
      <c r="H14">
        <v>11042</v>
      </c>
      <c r="S14" t="s">
        <v>24</v>
      </c>
      <c r="T14" s="1">
        <f>SUMIFS(G:G,A:A,S14)</f>
        <v>-1260000</v>
      </c>
    </row>
    <row r="15" spans="1:20" x14ac:dyDescent="0.25">
      <c r="A15" s="3" t="s">
        <v>10</v>
      </c>
      <c r="B15">
        <v>202104</v>
      </c>
      <c r="C15">
        <v>2147460000</v>
      </c>
      <c r="D15">
        <v>8648</v>
      </c>
      <c r="E15">
        <v>5.29195070310492</v>
      </c>
      <c r="F15" s="1">
        <v>350660000</v>
      </c>
      <c r="G15" s="1">
        <f t="shared" si="0"/>
        <v>540000</v>
      </c>
      <c r="H15">
        <v>11210</v>
      </c>
      <c r="S15" t="s">
        <v>30</v>
      </c>
      <c r="T15" s="1">
        <f>SUMIFS(G:G,A:A,S15)</f>
        <v>-1840000</v>
      </c>
    </row>
    <row r="16" spans="1:20" x14ac:dyDescent="0.25">
      <c r="A16" s="3" t="s">
        <v>11</v>
      </c>
      <c r="B16">
        <v>202104</v>
      </c>
      <c r="C16">
        <v>2147360000</v>
      </c>
      <c r="D16">
        <v>8741</v>
      </c>
      <c r="E16">
        <v>5.34885997870491</v>
      </c>
      <c r="F16" s="1">
        <v>350160000</v>
      </c>
      <c r="G16" s="1">
        <f t="shared" si="0"/>
        <v>40000</v>
      </c>
      <c r="H16">
        <v>10027</v>
      </c>
      <c r="S16" t="s">
        <v>22</v>
      </c>
      <c r="T16" s="1">
        <f>SUMIFS(G:G,A:A,S16)</f>
        <v>-2440000</v>
      </c>
    </row>
    <row r="17" spans="1:20" x14ac:dyDescent="0.25">
      <c r="A17" t="s">
        <v>34</v>
      </c>
      <c r="B17">
        <v>202104</v>
      </c>
      <c r="C17">
        <v>2147480000</v>
      </c>
      <c r="D17">
        <v>8549</v>
      </c>
      <c r="E17">
        <v>5.2313698613371802</v>
      </c>
      <c r="F17" s="1">
        <v>350120000</v>
      </c>
      <c r="G17" s="1">
        <f t="shared" si="0"/>
        <v>0</v>
      </c>
      <c r="H17">
        <v>9521</v>
      </c>
      <c r="S17" t="s">
        <v>11</v>
      </c>
      <c r="T17" s="1">
        <f>SUMIFS(G:G,A:A,S17)</f>
        <v>-2440000</v>
      </c>
    </row>
    <row r="18" spans="1:20" x14ac:dyDescent="0.25">
      <c r="A18" s="3" t="s">
        <v>20</v>
      </c>
      <c r="B18">
        <v>202104</v>
      </c>
      <c r="C18">
        <v>2147480000</v>
      </c>
      <c r="D18">
        <v>8592</v>
      </c>
      <c r="E18">
        <v>5.2576827522059899</v>
      </c>
      <c r="F18" s="1">
        <v>349960000</v>
      </c>
      <c r="G18" s="1">
        <f t="shared" si="0"/>
        <v>-160000</v>
      </c>
      <c r="H18">
        <v>10741</v>
      </c>
      <c r="S18" t="s">
        <v>33</v>
      </c>
      <c r="T18" s="1">
        <f>SUMIFS(G:G,A:A,S18)</f>
        <v>-3120000</v>
      </c>
    </row>
    <row r="19" spans="1:20" x14ac:dyDescent="0.25">
      <c r="A19" t="s">
        <v>12</v>
      </c>
      <c r="B19">
        <v>202104</v>
      </c>
      <c r="C19">
        <v>2147160000</v>
      </c>
      <c r="D19">
        <v>8584</v>
      </c>
      <c r="E19">
        <v>5.25278733064901</v>
      </c>
      <c r="F19" s="1">
        <v>349500000</v>
      </c>
      <c r="G19" s="1">
        <f t="shared" si="0"/>
        <v>-620000</v>
      </c>
      <c r="H19">
        <v>10440</v>
      </c>
      <c r="S19" t="s">
        <v>7</v>
      </c>
      <c r="T19" s="1">
        <f>SUMIFS(G:G,A:A,S19)</f>
        <v>-3260000</v>
      </c>
    </row>
    <row r="20" spans="1:20" x14ac:dyDescent="0.25">
      <c r="A20" t="s">
        <v>29</v>
      </c>
      <c r="B20">
        <v>202104</v>
      </c>
      <c r="C20">
        <v>2147480000</v>
      </c>
      <c r="D20">
        <v>8798</v>
      </c>
      <c r="E20">
        <v>5.3837398572984601</v>
      </c>
      <c r="F20" s="1">
        <v>349380000</v>
      </c>
      <c r="G20" s="1">
        <f t="shared" si="0"/>
        <v>-740000</v>
      </c>
      <c r="H20">
        <v>10510</v>
      </c>
      <c r="S20" t="s">
        <v>15</v>
      </c>
      <c r="T20" s="1">
        <f>SUMIFS(G:G,A:A,S20)</f>
        <v>-4080000</v>
      </c>
    </row>
    <row r="21" spans="1:20" x14ac:dyDescent="0.25">
      <c r="A21" t="s">
        <v>32</v>
      </c>
      <c r="B21">
        <v>202104</v>
      </c>
      <c r="C21">
        <v>2147480000</v>
      </c>
      <c r="D21">
        <v>8556</v>
      </c>
      <c r="E21">
        <v>5.2356533551995499</v>
      </c>
      <c r="F21" s="1">
        <v>348960000</v>
      </c>
      <c r="G21" s="1">
        <f t="shared" si="0"/>
        <v>-1160000</v>
      </c>
      <c r="H21">
        <v>10147</v>
      </c>
      <c r="S21" t="s">
        <v>19</v>
      </c>
      <c r="T21" s="1">
        <f>SUMIFS(G:G,A:A,S21)</f>
        <v>-5260000</v>
      </c>
    </row>
    <row r="22" spans="1:20" x14ac:dyDescent="0.25">
      <c r="A22" t="s">
        <v>19</v>
      </c>
      <c r="B22">
        <v>202104</v>
      </c>
      <c r="C22">
        <v>2147240000</v>
      </c>
      <c r="D22">
        <v>8639</v>
      </c>
      <c r="E22">
        <v>5.2864433538532998</v>
      </c>
      <c r="F22" s="1">
        <v>348920000</v>
      </c>
      <c r="G22" s="1">
        <f t="shared" si="0"/>
        <v>-1200000</v>
      </c>
      <c r="H22">
        <v>11369</v>
      </c>
      <c r="S22" t="s">
        <v>26</v>
      </c>
      <c r="T22" s="1">
        <f>SUMIFS(G:G,A:A,S22)</f>
        <v>-6160000</v>
      </c>
    </row>
    <row r="23" spans="1:20" x14ac:dyDescent="0.25">
      <c r="A23" t="s">
        <v>8</v>
      </c>
      <c r="B23">
        <v>202104</v>
      </c>
      <c r="C23">
        <v>2147480000</v>
      </c>
      <c r="D23">
        <v>8525</v>
      </c>
      <c r="E23">
        <v>5.2166835966662104</v>
      </c>
      <c r="F23" s="1">
        <v>348700000</v>
      </c>
      <c r="G23" s="1">
        <f t="shared" si="0"/>
        <v>-1420000</v>
      </c>
      <c r="H23">
        <v>10192</v>
      </c>
      <c r="S23" t="s">
        <v>29</v>
      </c>
      <c r="T23" s="1">
        <f>SUMIFS(G:G,A:A,S23)</f>
        <v>-6320000</v>
      </c>
    </row>
    <row r="24" spans="1:20" x14ac:dyDescent="0.25">
      <c r="A24" t="s">
        <v>7</v>
      </c>
      <c r="B24">
        <v>202104</v>
      </c>
      <c r="C24">
        <v>2147480000</v>
      </c>
      <c r="D24">
        <v>8721</v>
      </c>
      <c r="E24">
        <v>5.3366214248124404</v>
      </c>
      <c r="F24" s="1">
        <v>348620000</v>
      </c>
      <c r="G24" s="1">
        <f t="shared" si="0"/>
        <v>-1500000</v>
      </c>
      <c r="H24">
        <v>10760</v>
      </c>
      <c r="S24" t="s">
        <v>10</v>
      </c>
      <c r="T24" s="1">
        <f>SUMIFS(G:G,A:A,S24)</f>
        <v>-6380000</v>
      </c>
    </row>
    <row r="25" spans="1:20" x14ac:dyDescent="0.25">
      <c r="A25" t="s">
        <v>18</v>
      </c>
      <c r="B25">
        <v>202104</v>
      </c>
      <c r="C25">
        <v>2147280000</v>
      </c>
      <c r="D25">
        <v>8617</v>
      </c>
      <c r="E25">
        <v>5.2729809445715796</v>
      </c>
      <c r="F25" s="1">
        <v>348540000</v>
      </c>
      <c r="G25" s="1">
        <f t="shared" si="0"/>
        <v>-1580000</v>
      </c>
      <c r="H25">
        <v>10268</v>
      </c>
      <c r="S25" t="s">
        <v>18</v>
      </c>
      <c r="T25" s="1">
        <f>SUMIFS(G:G,A:A,S25)</f>
        <v>-6700000</v>
      </c>
    </row>
    <row r="26" spans="1:20" x14ac:dyDescent="0.25">
      <c r="A26" t="s">
        <v>27</v>
      </c>
      <c r="B26">
        <v>202104</v>
      </c>
      <c r="C26">
        <v>2147360000</v>
      </c>
      <c r="D26">
        <v>9436</v>
      </c>
      <c r="E26">
        <v>5.7741497264683197</v>
      </c>
      <c r="F26" s="1">
        <v>347440000</v>
      </c>
      <c r="G26" s="1">
        <f t="shared" si="0"/>
        <v>-2680000</v>
      </c>
      <c r="H26">
        <v>9987</v>
      </c>
      <c r="S26" t="s">
        <v>32</v>
      </c>
      <c r="T26" s="1">
        <f>SUMIFS(G:G,A:A,S26)</f>
        <v>-7080000</v>
      </c>
    </row>
    <row r="27" spans="1:20" x14ac:dyDescent="0.25">
      <c r="A27" t="s">
        <v>9</v>
      </c>
      <c r="B27">
        <v>202104</v>
      </c>
      <c r="C27">
        <v>2147480000</v>
      </c>
      <c r="D27">
        <v>8460</v>
      </c>
      <c r="E27">
        <v>5.1769082965156796</v>
      </c>
      <c r="F27" s="1">
        <v>338880000</v>
      </c>
      <c r="G27" s="1">
        <f t="shared" si="0"/>
        <v>-11240000</v>
      </c>
      <c r="H27">
        <v>8583</v>
      </c>
      <c r="S27" t="s">
        <v>27</v>
      </c>
      <c r="T27" s="1">
        <f>SUMIFS(G:G,A:A,S27)</f>
        <v>-10100000</v>
      </c>
    </row>
    <row r="28" spans="1:20" x14ac:dyDescent="0.25">
      <c r="A28" t="s">
        <v>25</v>
      </c>
      <c r="B28">
        <v>202104</v>
      </c>
      <c r="C28">
        <v>2147160000</v>
      </c>
      <c r="D28">
        <v>8868</v>
      </c>
      <c r="E28">
        <v>5.42657479592211</v>
      </c>
      <c r="F28" s="1">
        <v>333660000</v>
      </c>
      <c r="G28" s="1">
        <f t="shared" si="0"/>
        <v>-16460000</v>
      </c>
      <c r="H28">
        <v>10476</v>
      </c>
      <c r="S28" t="s">
        <v>8</v>
      </c>
      <c r="T28" s="1">
        <f>SUMIFS(G:G,A:A,S28)</f>
        <v>-10780000</v>
      </c>
    </row>
    <row r="29" spans="1:20" x14ac:dyDescent="0.25">
      <c r="A29" t="s">
        <v>13</v>
      </c>
      <c r="B29">
        <v>202104</v>
      </c>
      <c r="C29">
        <v>2147280000</v>
      </c>
      <c r="D29">
        <v>8930</v>
      </c>
      <c r="E29">
        <v>5.4645143129887703</v>
      </c>
      <c r="F29" s="1">
        <v>333240000</v>
      </c>
      <c r="G29" s="1">
        <f t="shared" si="0"/>
        <v>-16880000</v>
      </c>
      <c r="H29">
        <v>11581</v>
      </c>
      <c r="S29" t="s">
        <v>25</v>
      </c>
      <c r="T29" s="1">
        <f>SUMIFS(G:G,A:A,S29)</f>
        <v>-39540000</v>
      </c>
    </row>
    <row r="30" spans="1:20" x14ac:dyDescent="0.25">
      <c r="A30" s="2" t="s">
        <v>27</v>
      </c>
      <c r="B30">
        <v>202105</v>
      </c>
      <c r="C30">
        <v>2147480000</v>
      </c>
      <c r="D30">
        <v>10072</v>
      </c>
      <c r="E30">
        <v>6.1445731681277698</v>
      </c>
      <c r="F30" s="1">
        <v>193560000</v>
      </c>
      <c r="G30" s="1">
        <f t="shared" si="0"/>
        <v>40000</v>
      </c>
      <c r="H30">
        <v>8981</v>
      </c>
      <c r="S30" t="s">
        <v>9</v>
      </c>
      <c r="T30" s="1">
        <f>SUMIFS(G:G,A:A,S30)</f>
        <v>-42720000</v>
      </c>
    </row>
    <row r="31" spans="1:20" x14ac:dyDescent="0.25">
      <c r="A31" t="s">
        <v>34</v>
      </c>
      <c r="B31">
        <v>202105</v>
      </c>
      <c r="C31">
        <v>2147440000</v>
      </c>
      <c r="D31">
        <v>8903</v>
      </c>
      <c r="E31">
        <v>5.4314073586022102</v>
      </c>
      <c r="F31" s="1">
        <v>193520000</v>
      </c>
      <c r="G31" s="1">
        <f t="shared" si="0"/>
        <v>0</v>
      </c>
      <c r="H31">
        <v>9051</v>
      </c>
    </row>
    <row r="32" spans="1:20" x14ac:dyDescent="0.25">
      <c r="A32" s="2" t="s">
        <v>30</v>
      </c>
      <c r="B32">
        <v>202105</v>
      </c>
      <c r="C32">
        <v>2147480000</v>
      </c>
      <c r="D32">
        <v>9241</v>
      </c>
      <c r="E32">
        <v>5.6376092778662299</v>
      </c>
      <c r="F32" s="1">
        <v>193220000</v>
      </c>
      <c r="G32" s="1">
        <f t="shared" si="0"/>
        <v>-300000</v>
      </c>
      <c r="H32">
        <v>8826</v>
      </c>
    </row>
    <row r="33" spans="1:8" x14ac:dyDescent="0.25">
      <c r="A33" s="2" t="s">
        <v>12</v>
      </c>
      <c r="B33">
        <v>202105</v>
      </c>
      <c r="C33">
        <v>2146980000</v>
      </c>
      <c r="D33">
        <v>9143</v>
      </c>
      <c r="E33">
        <v>5.5778229225766696</v>
      </c>
      <c r="F33" s="1">
        <v>193020000</v>
      </c>
      <c r="G33" s="1">
        <f t="shared" si="0"/>
        <v>-500000</v>
      </c>
      <c r="H33">
        <v>8420</v>
      </c>
    </row>
    <row r="34" spans="1:8" x14ac:dyDescent="0.25">
      <c r="A34" s="2" t="s">
        <v>17</v>
      </c>
      <c r="B34">
        <v>202105</v>
      </c>
      <c r="C34">
        <v>2147120000</v>
      </c>
      <c r="D34">
        <v>8837</v>
      </c>
      <c r="E34">
        <v>5.3911430785092396</v>
      </c>
      <c r="F34" s="1">
        <v>192880000</v>
      </c>
      <c r="G34" s="1">
        <f t="shared" si="0"/>
        <v>-640000</v>
      </c>
      <c r="H34">
        <v>8019</v>
      </c>
    </row>
    <row r="35" spans="1:8" x14ac:dyDescent="0.25">
      <c r="A35" s="2" t="s">
        <v>11</v>
      </c>
      <c r="B35">
        <v>202105</v>
      </c>
      <c r="C35">
        <v>2147480000</v>
      </c>
      <c r="D35">
        <v>9112</v>
      </c>
      <c r="E35">
        <v>5.5589109122299698</v>
      </c>
      <c r="F35" s="1">
        <v>192700000</v>
      </c>
      <c r="G35" s="1">
        <f t="shared" si="0"/>
        <v>-820000</v>
      </c>
      <c r="H35">
        <v>8484</v>
      </c>
    </row>
    <row r="36" spans="1:8" x14ac:dyDescent="0.25">
      <c r="A36" s="2" t="s">
        <v>23</v>
      </c>
      <c r="B36">
        <v>202105</v>
      </c>
      <c r="C36">
        <v>2147420000</v>
      </c>
      <c r="D36">
        <v>8887</v>
      </c>
      <c r="E36">
        <v>5.4216463210039203</v>
      </c>
      <c r="F36" s="1">
        <v>192580000</v>
      </c>
      <c r="G36" s="1">
        <f t="shared" si="0"/>
        <v>-940000</v>
      </c>
      <c r="H36">
        <v>8346</v>
      </c>
    </row>
    <row r="37" spans="1:8" x14ac:dyDescent="0.25">
      <c r="A37" s="2" t="s">
        <v>16</v>
      </c>
      <c r="B37">
        <v>202105</v>
      </c>
      <c r="C37">
        <v>2147480000</v>
      </c>
      <c r="D37">
        <v>8956</v>
      </c>
      <c r="E37">
        <v>5.4637407956465696</v>
      </c>
      <c r="F37" s="1">
        <v>192200000</v>
      </c>
      <c r="G37" s="1">
        <f t="shared" si="0"/>
        <v>-1320000</v>
      </c>
      <c r="H37">
        <v>9265</v>
      </c>
    </row>
    <row r="38" spans="1:8" x14ac:dyDescent="0.25">
      <c r="A38" s="2" t="s">
        <v>22</v>
      </c>
      <c r="B38">
        <v>202105</v>
      </c>
      <c r="C38">
        <v>2147360000</v>
      </c>
      <c r="D38">
        <v>8952</v>
      </c>
      <c r="E38">
        <v>5.4613005362470002</v>
      </c>
      <c r="F38" s="1">
        <v>192060000</v>
      </c>
      <c r="G38" s="1">
        <f t="shared" si="0"/>
        <v>-1460000</v>
      </c>
      <c r="H38">
        <v>8828</v>
      </c>
    </row>
    <row r="39" spans="1:8" x14ac:dyDescent="0.25">
      <c r="A39" s="3" t="s">
        <v>20</v>
      </c>
      <c r="B39">
        <v>202105</v>
      </c>
      <c r="C39">
        <v>2147480000</v>
      </c>
      <c r="D39">
        <v>8885</v>
      </c>
      <c r="E39">
        <v>5.4204261913041298</v>
      </c>
      <c r="F39" s="1">
        <v>191740000</v>
      </c>
      <c r="G39" s="1">
        <f t="shared" si="0"/>
        <v>-1780000</v>
      </c>
      <c r="H39">
        <v>8680</v>
      </c>
    </row>
    <row r="40" spans="1:8" x14ac:dyDescent="0.25">
      <c r="A40" s="3" t="s">
        <v>14</v>
      </c>
      <c r="B40">
        <v>202105</v>
      </c>
      <c r="C40">
        <v>2147480000</v>
      </c>
      <c r="D40">
        <v>8936</v>
      </c>
      <c r="E40">
        <v>5.4515394986486996</v>
      </c>
      <c r="F40" s="1">
        <v>191680000</v>
      </c>
      <c r="G40" s="1">
        <f t="shared" si="0"/>
        <v>-1840000</v>
      </c>
      <c r="H40">
        <v>8359</v>
      </c>
    </row>
    <row r="41" spans="1:8" x14ac:dyDescent="0.25">
      <c r="A41" s="3" t="s">
        <v>31</v>
      </c>
      <c r="B41">
        <v>202105</v>
      </c>
      <c r="C41">
        <v>2147480000</v>
      </c>
      <c r="D41">
        <v>8982</v>
      </c>
      <c r="E41">
        <v>5.4796024817438003</v>
      </c>
      <c r="F41" s="1">
        <v>191660000</v>
      </c>
      <c r="G41" s="1">
        <f t="shared" si="0"/>
        <v>-1860000</v>
      </c>
      <c r="H41">
        <v>8744</v>
      </c>
    </row>
    <row r="42" spans="1:8" x14ac:dyDescent="0.25">
      <c r="A42" s="3" t="s">
        <v>21</v>
      </c>
      <c r="B42">
        <v>202105</v>
      </c>
      <c r="C42">
        <v>2147480000</v>
      </c>
      <c r="D42">
        <v>9144</v>
      </c>
      <c r="E42">
        <v>5.5784329874265604</v>
      </c>
      <c r="F42" s="1">
        <v>191380000</v>
      </c>
      <c r="G42" s="1">
        <f t="shared" si="0"/>
        <v>-2140000</v>
      </c>
      <c r="H42">
        <v>9354</v>
      </c>
    </row>
    <row r="43" spans="1:8" x14ac:dyDescent="0.25">
      <c r="A43" s="3" t="s">
        <v>32</v>
      </c>
      <c r="B43">
        <v>202105</v>
      </c>
      <c r="C43">
        <v>2146880000</v>
      </c>
      <c r="D43">
        <v>9067</v>
      </c>
      <c r="E43">
        <v>5.5314579939847599</v>
      </c>
      <c r="F43" s="1">
        <v>190740000</v>
      </c>
      <c r="G43" s="1">
        <f t="shared" si="0"/>
        <v>-2780000</v>
      </c>
      <c r="H43">
        <v>9462</v>
      </c>
    </row>
    <row r="44" spans="1:8" x14ac:dyDescent="0.25">
      <c r="A44" s="3" t="s">
        <v>24</v>
      </c>
      <c r="B44">
        <v>202105</v>
      </c>
      <c r="C44">
        <v>2147240000</v>
      </c>
      <c r="D44">
        <v>8806</v>
      </c>
      <c r="E44">
        <v>5.3722310681625398</v>
      </c>
      <c r="F44" s="1">
        <v>190640000</v>
      </c>
      <c r="G44" s="1">
        <f t="shared" si="0"/>
        <v>-2880000</v>
      </c>
      <c r="H44">
        <v>8191</v>
      </c>
    </row>
    <row r="45" spans="1:8" x14ac:dyDescent="0.25">
      <c r="A45" s="3" t="s">
        <v>28</v>
      </c>
      <c r="B45">
        <v>202105</v>
      </c>
      <c r="C45">
        <v>2147420000</v>
      </c>
      <c r="D45">
        <v>8915</v>
      </c>
      <c r="E45">
        <v>5.4387281368009397</v>
      </c>
      <c r="F45" s="1">
        <v>190120000</v>
      </c>
      <c r="G45" s="1">
        <f t="shared" si="0"/>
        <v>-3400000</v>
      </c>
      <c r="H45">
        <v>8429</v>
      </c>
    </row>
    <row r="46" spans="1:8" x14ac:dyDescent="0.25">
      <c r="A46" s="3" t="s">
        <v>26</v>
      </c>
      <c r="B46">
        <v>202105</v>
      </c>
      <c r="C46">
        <v>2147480000</v>
      </c>
      <c r="D46">
        <v>9140</v>
      </c>
      <c r="E46">
        <v>5.5759927280269803</v>
      </c>
      <c r="F46" s="1">
        <v>190100000</v>
      </c>
      <c r="G46" s="1">
        <f t="shared" si="0"/>
        <v>-3420000</v>
      </c>
      <c r="H46">
        <v>7878</v>
      </c>
    </row>
    <row r="47" spans="1:8" x14ac:dyDescent="0.25">
      <c r="A47" t="s">
        <v>33</v>
      </c>
      <c r="B47">
        <v>202105</v>
      </c>
      <c r="C47">
        <v>2147460000</v>
      </c>
      <c r="D47">
        <v>8871</v>
      </c>
      <c r="E47">
        <v>5.4118852834056197</v>
      </c>
      <c r="F47" s="1">
        <v>189940000</v>
      </c>
      <c r="G47" s="1">
        <f t="shared" si="0"/>
        <v>-3580000</v>
      </c>
      <c r="H47">
        <v>7478</v>
      </c>
    </row>
    <row r="48" spans="1:8" x14ac:dyDescent="0.25">
      <c r="A48" t="s">
        <v>7</v>
      </c>
      <c r="B48">
        <v>202105</v>
      </c>
      <c r="C48">
        <v>2147480000</v>
      </c>
      <c r="D48">
        <v>8825</v>
      </c>
      <c r="E48">
        <v>5.3838223003105199</v>
      </c>
      <c r="F48" s="1">
        <v>189840000</v>
      </c>
      <c r="G48" s="1">
        <f t="shared" si="0"/>
        <v>-3680000</v>
      </c>
      <c r="H48">
        <v>8303</v>
      </c>
    </row>
    <row r="49" spans="1:8" x14ac:dyDescent="0.25">
      <c r="A49" t="s">
        <v>15</v>
      </c>
      <c r="B49">
        <v>202105</v>
      </c>
      <c r="C49">
        <v>2147480000</v>
      </c>
      <c r="D49">
        <v>8960</v>
      </c>
      <c r="E49">
        <v>5.4661810550461496</v>
      </c>
      <c r="F49" s="1">
        <v>189800000</v>
      </c>
      <c r="G49" s="1">
        <f t="shared" si="0"/>
        <v>-3720000</v>
      </c>
      <c r="H49">
        <v>8781</v>
      </c>
    </row>
    <row r="50" spans="1:8" x14ac:dyDescent="0.25">
      <c r="A50" t="s">
        <v>19</v>
      </c>
      <c r="B50">
        <v>202105</v>
      </c>
      <c r="C50">
        <v>2147480000</v>
      </c>
      <c r="D50">
        <v>8855</v>
      </c>
      <c r="E50">
        <v>5.40212424580732</v>
      </c>
      <c r="F50" s="1">
        <v>189700000</v>
      </c>
      <c r="G50" s="1">
        <f t="shared" si="0"/>
        <v>-3820000</v>
      </c>
      <c r="H50">
        <v>8130</v>
      </c>
    </row>
    <row r="51" spans="1:8" x14ac:dyDescent="0.25">
      <c r="A51" t="s">
        <v>18</v>
      </c>
      <c r="B51">
        <v>202105</v>
      </c>
      <c r="C51">
        <v>2147480000</v>
      </c>
      <c r="D51">
        <v>9010</v>
      </c>
      <c r="E51">
        <v>5.4966842975408197</v>
      </c>
      <c r="F51" s="1">
        <v>189540000</v>
      </c>
      <c r="G51" s="1">
        <f t="shared" si="0"/>
        <v>-3980000</v>
      </c>
      <c r="H51">
        <v>8438</v>
      </c>
    </row>
    <row r="52" spans="1:8" x14ac:dyDescent="0.25">
      <c r="A52" t="s">
        <v>29</v>
      </c>
      <c r="B52">
        <v>202105</v>
      </c>
      <c r="C52">
        <v>2147480000</v>
      </c>
      <c r="D52">
        <v>9428</v>
      </c>
      <c r="E52">
        <v>5.7516914047963299</v>
      </c>
      <c r="F52" s="1">
        <v>189140000</v>
      </c>
      <c r="G52" s="1">
        <f t="shared" si="0"/>
        <v>-4380000</v>
      </c>
      <c r="H52">
        <v>9242</v>
      </c>
    </row>
    <row r="53" spans="1:8" x14ac:dyDescent="0.25">
      <c r="A53" t="s">
        <v>10</v>
      </c>
      <c r="B53">
        <v>202105</v>
      </c>
      <c r="C53">
        <v>2147080000</v>
      </c>
      <c r="D53">
        <v>9023</v>
      </c>
      <c r="E53">
        <v>5.5046151405894399</v>
      </c>
      <c r="F53" s="1">
        <v>188680000</v>
      </c>
      <c r="G53" s="1">
        <f t="shared" si="0"/>
        <v>-4840000</v>
      </c>
      <c r="H53">
        <v>8373</v>
      </c>
    </row>
    <row r="54" spans="1:8" x14ac:dyDescent="0.25">
      <c r="A54" t="s">
        <v>8</v>
      </c>
      <c r="B54">
        <v>202105</v>
      </c>
      <c r="C54">
        <v>2147140000</v>
      </c>
      <c r="D54">
        <v>8957</v>
      </c>
      <c r="E54">
        <v>5.4643508604964701</v>
      </c>
      <c r="F54" s="1">
        <v>188340000</v>
      </c>
      <c r="G54" s="1">
        <f t="shared" si="0"/>
        <v>-5180000</v>
      </c>
      <c r="H54">
        <v>8810</v>
      </c>
    </row>
    <row r="55" spans="1:8" x14ac:dyDescent="0.25">
      <c r="A55" t="s">
        <v>13</v>
      </c>
      <c r="B55">
        <v>202105</v>
      </c>
      <c r="C55">
        <v>2147480000</v>
      </c>
      <c r="D55">
        <v>9328</v>
      </c>
      <c r="E55">
        <v>5.6906849198069702</v>
      </c>
      <c r="F55" s="1">
        <v>183900000</v>
      </c>
      <c r="G55" s="1">
        <f t="shared" si="0"/>
        <v>-9620000</v>
      </c>
      <c r="H55">
        <v>8928</v>
      </c>
    </row>
    <row r="56" spans="1:8" x14ac:dyDescent="0.25">
      <c r="A56" t="s">
        <v>25</v>
      </c>
      <c r="B56">
        <v>202105</v>
      </c>
      <c r="C56">
        <v>2147480000</v>
      </c>
      <c r="D56">
        <v>9407</v>
      </c>
      <c r="E56">
        <v>5.7388800429485602</v>
      </c>
      <c r="F56" s="1">
        <v>177760000</v>
      </c>
      <c r="G56" s="1">
        <f t="shared" si="0"/>
        <v>-15760000</v>
      </c>
      <c r="H56">
        <v>9307</v>
      </c>
    </row>
    <row r="57" spans="1:8" x14ac:dyDescent="0.25">
      <c r="A57" t="s">
        <v>9</v>
      </c>
      <c r="B57">
        <v>202105</v>
      </c>
      <c r="C57">
        <v>2147480000</v>
      </c>
      <c r="D57">
        <v>8797</v>
      </c>
      <c r="E57">
        <v>5.3667404845134996</v>
      </c>
      <c r="F57" s="1">
        <v>177560000</v>
      </c>
      <c r="G57" s="1">
        <f t="shared" si="0"/>
        <v>-15960000</v>
      </c>
      <c r="H57">
        <v>8661</v>
      </c>
    </row>
    <row r="58" spans="1:8" x14ac:dyDescent="0.25">
      <c r="A58" s="2" t="s">
        <v>13</v>
      </c>
      <c r="B58">
        <v>202106</v>
      </c>
      <c r="C58">
        <v>2147480000</v>
      </c>
      <c r="D58">
        <v>10281</v>
      </c>
      <c r="E58">
        <v>6.2569608004235802</v>
      </c>
      <c r="F58" s="1">
        <v>364860000</v>
      </c>
      <c r="G58" s="1">
        <f t="shared" si="0"/>
        <v>38420000</v>
      </c>
      <c r="H58">
        <v>12188</v>
      </c>
    </row>
    <row r="59" spans="1:8" x14ac:dyDescent="0.25">
      <c r="A59" s="2" t="s">
        <v>31</v>
      </c>
      <c r="B59">
        <v>202106</v>
      </c>
      <c r="C59">
        <v>2147480000</v>
      </c>
      <c r="D59">
        <v>9828</v>
      </c>
      <c r="E59">
        <v>5.9812674590567996</v>
      </c>
      <c r="F59" s="1">
        <v>329960000</v>
      </c>
      <c r="G59" s="1">
        <f t="shared" si="0"/>
        <v>3520000</v>
      </c>
      <c r="H59">
        <v>10817</v>
      </c>
    </row>
    <row r="60" spans="1:8" x14ac:dyDescent="0.25">
      <c r="A60" s="2" t="s">
        <v>7</v>
      </c>
      <c r="B60">
        <v>202106</v>
      </c>
      <c r="C60">
        <v>2147320000</v>
      </c>
      <c r="D60">
        <v>9814</v>
      </c>
      <c r="E60">
        <v>5.9727471350410397</v>
      </c>
      <c r="F60" s="1">
        <v>328360000</v>
      </c>
      <c r="G60" s="1">
        <f t="shared" si="0"/>
        <v>1920000</v>
      </c>
      <c r="H60">
        <v>12789</v>
      </c>
    </row>
    <row r="61" spans="1:8" x14ac:dyDescent="0.25">
      <c r="A61" s="2" t="s">
        <v>14</v>
      </c>
      <c r="B61">
        <v>202106</v>
      </c>
      <c r="C61">
        <v>2147480000</v>
      </c>
      <c r="D61">
        <v>9774</v>
      </c>
      <c r="E61">
        <v>5.9484033521389001</v>
      </c>
      <c r="F61" s="1">
        <v>328200000</v>
      </c>
      <c r="G61" s="1">
        <f t="shared" si="0"/>
        <v>1760000</v>
      </c>
      <c r="H61">
        <v>13017</v>
      </c>
    </row>
    <row r="62" spans="1:8" x14ac:dyDescent="0.25">
      <c r="A62" s="2" t="s">
        <v>20</v>
      </c>
      <c r="B62">
        <v>202106</v>
      </c>
      <c r="C62">
        <v>2147180000</v>
      </c>
      <c r="D62">
        <v>9756</v>
      </c>
      <c r="E62">
        <v>5.9374486498329402</v>
      </c>
      <c r="F62" s="1">
        <v>327560000</v>
      </c>
      <c r="G62" s="1">
        <f t="shared" si="0"/>
        <v>1120000</v>
      </c>
      <c r="H62">
        <v>12393</v>
      </c>
    </row>
    <row r="63" spans="1:8" x14ac:dyDescent="0.25">
      <c r="A63" s="2" t="s">
        <v>21</v>
      </c>
      <c r="B63">
        <v>202106</v>
      </c>
      <c r="C63">
        <v>2147320000</v>
      </c>
      <c r="D63">
        <v>10036</v>
      </c>
      <c r="E63">
        <v>6.10785513014795</v>
      </c>
      <c r="F63" s="1">
        <v>327160000</v>
      </c>
      <c r="G63" s="1">
        <f t="shared" si="0"/>
        <v>720000</v>
      </c>
      <c r="H63">
        <v>12549</v>
      </c>
    </row>
    <row r="64" spans="1:8" x14ac:dyDescent="0.25">
      <c r="A64" s="2" t="s">
        <v>23</v>
      </c>
      <c r="B64">
        <v>202106</v>
      </c>
      <c r="C64">
        <v>2147480000</v>
      </c>
      <c r="D64">
        <v>9789</v>
      </c>
      <c r="E64">
        <v>5.9575322707272003</v>
      </c>
      <c r="F64" s="1">
        <v>326860000</v>
      </c>
      <c r="G64" s="1">
        <f t="shared" si="0"/>
        <v>420000</v>
      </c>
      <c r="H64">
        <v>12436</v>
      </c>
    </row>
    <row r="65" spans="1:8" x14ac:dyDescent="0.25">
      <c r="A65" s="3" t="s">
        <v>16</v>
      </c>
      <c r="B65">
        <v>202106</v>
      </c>
      <c r="C65">
        <v>2147120000</v>
      </c>
      <c r="D65">
        <v>9840</v>
      </c>
      <c r="E65">
        <v>5.9885705939274398</v>
      </c>
      <c r="F65" s="1">
        <v>326800000</v>
      </c>
      <c r="G65" s="1">
        <f t="shared" si="0"/>
        <v>360000</v>
      </c>
      <c r="H65">
        <v>13043</v>
      </c>
    </row>
    <row r="66" spans="1:8" x14ac:dyDescent="0.25">
      <c r="A66" s="2" t="s">
        <v>12</v>
      </c>
      <c r="B66">
        <v>202106</v>
      </c>
      <c r="C66">
        <v>2147480000</v>
      </c>
      <c r="D66">
        <v>9876</v>
      </c>
      <c r="E66">
        <v>6.0104799985393704</v>
      </c>
      <c r="F66" s="1">
        <v>326800000</v>
      </c>
      <c r="G66" s="1">
        <f t="shared" si="0"/>
        <v>360000</v>
      </c>
      <c r="H66">
        <v>13507</v>
      </c>
    </row>
    <row r="67" spans="1:8" x14ac:dyDescent="0.25">
      <c r="A67" s="3" t="s">
        <v>28</v>
      </c>
      <c r="B67">
        <v>202106</v>
      </c>
      <c r="C67">
        <v>2147480000</v>
      </c>
      <c r="D67">
        <v>9791</v>
      </c>
      <c r="E67">
        <v>5.9587494598723101</v>
      </c>
      <c r="F67" s="1">
        <v>326680000</v>
      </c>
      <c r="G67" s="1">
        <f t="shared" ref="G67:G85" si="1">F67-_xlfn.XLOOKUP(B67,L:L,M:M)</f>
        <v>240000</v>
      </c>
      <c r="H67">
        <v>13417</v>
      </c>
    </row>
    <row r="68" spans="1:8" x14ac:dyDescent="0.25">
      <c r="A68" t="s">
        <v>34</v>
      </c>
      <c r="B68">
        <v>202106</v>
      </c>
      <c r="C68">
        <v>2147480000</v>
      </c>
      <c r="D68">
        <v>9791</v>
      </c>
      <c r="E68">
        <v>5.9587494598723101</v>
      </c>
      <c r="F68" s="1">
        <v>326440000</v>
      </c>
      <c r="G68" s="1">
        <f t="shared" si="1"/>
        <v>0</v>
      </c>
      <c r="H68">
        <v>12277</v>
      </c>
    </row>
    <row r="69" spans="1:8" x14ac:dyDescent="0.25">
      <c r="A69" s="3" t="s">
        <v>17</v>
      </c>
      <c r="B69">
        <v>202106</v>
      </c>
      <c r="C69">
        <v>2147480000</v>
      </c>
      <c r="D69">
        <v>9865</v>
      </c>
      <c r="E69">
        <v>6.0037854582412802</v>
      </c>
      <c r="F69" s="1">
        <v>326300000</v>
      </c>
      <c r="G69" s="1">
        <f t="shared" si="1"/>
        <v>-140000</v>
      </c>
      <c r="H69">
        <v>11808</v>
      </c>
    </row>
    <row r="70" spans="1:8" x14ac:dyDescent="0.25">
      <c r="A70" s="3" t="s">
        <v>19</v>
      </c>
      <c r="B70">
        <v>202106</v>
      </c>
      <c r="C70">
        <v>2147480000</v>
      </c>
      <c r="D70">
        <v>9775</v>
      </c>
      <c r="E70">
        <v>5.9490119467114502</v>
      </c>
      <c r="F70" s="1">
        <v>326200000</v>
      </c>
      <c r="G70" s="1">
        <f t="shared" si="1"/>
        <v>-240000</v>
      </c>
      <c r="H70">
        <v>12445</v>
      </c>
    </row>
    <row r="71" spans="1:8" x14ac:dyDescent="0.25">
      <c r="A71" s="3" t="s">
        <v>33</v>
      </c>
      <c r="B71">
        <v>202106</v>
      </c>
      <c r="C71">
        <v>2147260000</v>
      </c>
      <c r="D71">
        <v>9785</v>
      </c>
      <c r="E71">
        <v>5.9550978924369904</v>
      </c>
      <c r="F71" s="1">
        <v>326060000</v>
      </c>
      <c r="G71" s="1">
        <f t="shared" si="1"/>
        <v>-380000</v>
      </c>
      <c r="H71">
        <v>12312</v>
      </c>
    </row>
    <row r="72" spans="1:8" x14ac:dyDescent="0.25">
      <c r="A72" s="3" t="s">
        <v>24</v>
      </c>
      <c r="B72">
        <v>202106</v>
      </c>
      <c r="C72">
        <v>2147480000</v>
      </c>
      <c r="D72">
        <v>9772</v>
      </c>
      <c r="E72">
        <v>5.9471861629937903</v>
      </c>
      <c r="F72" s="1">
        <v>325820000</v>
      </c>
      <c r="G72" s="1">
        <f t="shared" si="1"/>
        <v>-620000</v>
      </c>
      <c r="H72">
        <v>11228</v>
      </c>
    </row>
    <row r="73" spans="1:8" x14ac:dyDescent="0.25">
      <c r="A73" s="3" t="s">
        <v>18</v>
      </c>
      <c r="B73">
        <v>202106</v>
      </c>
      <c r="C73">
        <v>2147000000</v>
      </c>
      <c r="D73">
        <v>9968</v>
      </c>
      <c r="E73">
        <v>6.0664706992142996</v>
      </c>
      <c r="F73" s="1">
        <v>325300000</v>
      </c>
      <c r="G73" s="1">
        <f t="shared" si="1"/>
        <v>-1140000</v>
      </c>
      <c r="H73">
        <v>11678</v>
      </c>
    </row>
    <row r="74" spans="1:8" x14ac:dyDescent="0.25">
      <c r="A74" t="s">
        <v>29</v>
      </c>
      <c r="B74">
        <v>202106</v>
      </c>
      <c r="C74">
        <v>2147380000</v>
      </c>
      <c r="D74">
        <v>10084</v>
      </c>
      <c r="E74">
        <v>6.13706766963052</v>
      </c>
      <c r="F74" s="1">
        <v>325240000</v>
      </c>
      <c r="G74" s="1">
        <f t="shared" si="1"/>
        <v>-1200000</v>
      </c>
      <c r="H74">
        <v>11133</v>
      </c>
    </row>
    <row r="75" spans="1:8" x14ac:dyDescent="0.25">
      <c r="A75" s="3" t="s">
        <v>15</v>
      </c>
      <c r="B75">
        <v>202106</v>
      </c>
      <c r="C75">
        <v>2147480000</v>
      </c>
      <c r="D75">
        <v>9741</v>
      </c>
      <c r="E75">
        <v>5.9283197312446303</v>
      </c>
      <c r="F75" s="1">
        <v>325240000</v>
      </c>
      <c r="G75" s="1">
        <f t="shared" si="1"/>
        <v>-1200000</v>
      </c>
      <c r="H75">
        <v>10961</v>
      </c>
    </row>
    <row r="76" spans="1:8" x14ac:dyDescent="0.25">
      <c r="A76" t="s">
        <v>11</v>
      </c>
      <c r="B76">
        <v>202106</v>
      </c>
      <c r="C76">
        <v>2146880000</v>
      </c>
      <c r="D76">
        <v>10002</v>
      </c>
      <c r="E76">
        <v>6.0871629146811204</v>
      </c>
      <c r="F76" s="1">
        <v>324780000</v>
      </c>
      <c r="G76" s="1">
        <f t="shared" si="1"/>
        <v>-1660000</v>
      </c>
      <c r="H76">
        <v>13284</v>
      </c>
    </row>
    <row r="77" spans="1:8" x14ac:dyDescent="0.25">
      <c r="A77" t="s">
        <v>10</v>
      </c>
      <c r="B77">
        <v>202106</v>
      </c>
      <c r="C77">
        <v>2147020000</v>
      </c>
      <c r="D77">
        <v>10127</v>
      </c>
      <c r="E77">
        <v>6.1632372362503203</v>
      </c>
      <c r="F77" s="1">
        <v>324360000</v>
      </c>
      <c r="G77" s="1">
        <f t="shared" si="1"/>
        <v>-2080000</v>
      </c>
      <c r="H77">
        <v>13185</v>
      </c>
    </row>
    <row r="78" spans="1:8" x14ac:dyDescent="0.25">
      <c r="A78" t="s">
        <v>30</v>
      </c>
      <c r="B78">
        <v>202106</v>
      </c>
      <c r="C78">
        <v>2147480000</v>
      </c>
      <c r="D78">
        <v>10016</v>
      </c>
      <c r="E78">
        <v>6.0956832386968696</v>
      </c>
      <c r="F78" s="1">
        <v>323660000</v>
      </c>
      <c r="G78" s="1">
        <f t="shared" si="1"/>
        <v>-2780000</v>
      </c>
      <c r="H78">
        <v>13060</v>
      </c>
    </row>
    <row r="79" spans="1:8" x14ac:dyDescent="0.25">
      <c r="A79" t="s">
        <v>22</v>
      </c>
      <c r="B79">
        <v>202106</v>
      </c>
      <c r="C79">
        <v>2147480000</v>
      </c>
      <c r="D79">
        <v>9884</v>
      </c>
      <c r="E79">
        <v>6.0153487551197999</v>
      </c>
      <c r="F79" s="1">
        <v>323540000</v>
      </c>
      <c r="G79" s="1">
        <f t="shared" si="1"/>
        <v>-2900000</v>
      </c>
      <c r="H79">
        <v>14026</v>
      </c>
    </row>
    <row r="80" spans="1:8" x14ac:dyDescent="0.25">
      <c r="A80" t="s">
        <v>32</v>
      </c>
      <c r="B80">
        <v>202106</v>
      </c>
      <c r="C80">
        <v>2147440000</v>
      </c>
      <c r="D80">
        <v>9859</v>
      </c>
      <c r="E80">
        <v>6.0001338908059596</v>
      </c>
      <c r="F80" s="1">
        <v>323300000</v>
      </c>
      <c r="G80" s="1">
        <f t="shared" si="1"/>
        <v>-3140000</v>
      </c>
      <c r="H80">
        <v>12662</v>
      </c>
    </row>
    <row r="81" spans="1:8" x14ac:dyDescent="0.25">
      <c r="A81" t="s">
        <v>8</v>
      </c>
      <c r="B81">
        <v>202106</v>
      </c>
      <c r="C81">
        <v>2147480000</v>
      </c>
      <c r="D81">
        <v>9790</v>
      </c>
      <c r="E81">
        <v>5.9581408652997601</v>
      </c>
      <c r="F81" s="1">
        <v>322260000</v>
      </c>
      <c r="G81" s="1">
        <f t="shared" si="1"/>
        <v>-4180000</v>
      </c>
      <c r="H81">
        <v>10398</v>
      </c>
    </row>
    <row r="82" spans="1:8" x14ac:dyDescent="0.25">
      <c r="A82" t="s">
        <v>26</v>
      </c>
      <c r="B82">
        <v>202106</v>
      </c>
      <c r="C82">
        <v>2147480000</v>
      </c>
      <c r="D82">
        <v>10132</v>
      </c>
      <c r="E82">
        <v>6.1662802091130899</v>
      </c>
      <c r="F82" s="1">
        <v>321800000</v>
      </c>
      <c r="G82" s="1">
        <f t="shared" si="1"/>
        <v>-4640000</v>
      </c>
      <c r="H82">
        <v>12793</v>
      </c>
    </row>
    <row r="83" spans="1:8" x14ac:dyDescent="0.25">
      <c r="A83" t="s">
        <v>25</v>
      </c>
      <c r="B83">
        <v>202106</v>
      </c>
      <c r="C83">
        <v>2147480000</v>
      </c>
      <c r="D83">
        <v>10228</v>
      </c>
      <c r="E83">
        <v>6.2247052880782396</v>
      </c>
      <c r="F83" s="1">
        <v>319120000</v>
      </c>
      <c r="G83" s="1">
        <f t="shared" si="1"/>
        <v>-7320000</v>
      </c>
      <c r="H83">
        <v>12727</v>
      </c>
    </row>
    <row r="84" spans="1:8" x14ac:dyDescent="0.25">
      <c r="A84" t="s">
        <v>27</v>
      </c>
      <c r="B84">
        <v>202106</v>
      </c>
      <c r="C84">
        <v>2146880000</v>
      </c>
      <c r="D84">
        <v>10016</v>
      </c>
      <c r="E84">
        <v>6.0956832386968696</v>
      </c>
      <c r="F84" s="1">
        <v>318980000</v>
      </c>
      <c r="G84" s="1">
        <f t="shared" si="1"/>
        <v>-7460000</v>
      </c>
      <c r="H84">
        <v>10926</v>
      </c>
    </row>
    <row r="85" spans="1:8" x14ac:dyDescent="0.25">
      <c r="A85" t="s">
        <v>9</v>
      </c>
      <c r="B85">
        <v>202106</v>
      </c>
      <c r="C85">
        <v>2147480000</v>
      </c>
      <c r="D85">
        <v>9621</v>
      </c>
      <c r="E85">
        <v>5.8552883825382001</v>
      </c>
      <c r="F85" s="1">
        <v>310920000</v>
      </c>
      <c r="G85" s="1">
        <f t="shared" si="1"/>
        <v>-15520000</v>
      </c>
      <c r="H85">
        <v>13065</v>
      </c>
    </row>
  </sheetData>
  <autoFilter ref="S1:T1" xr:uid="{EF38D3B5-799C-4503-87EA-1579D1BCE507}">
    <sortState xmlns:xlrd2="http://schemas.microsoft.com/office/spreadsheetml/2017/richdata2" ref="S2:T30">
      <sortCondition descending="1" ref="T1"/>
    </sortState>
  </autoFilter>
  <conditionalFormatting sqref="F2:G82 G2:G8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datos_combinados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Caricati</dc:creator>
  <cp:lastModifiedBy>Nicolás Caricati</cp:lastModifiedBy>
  <dcterms:created xsi:type="dcterms:W3CDTF">2025-11-02T23:51:11Z</dcterms:created>
  <dcterms:modified xsi:type="dcterms:W3CDTF">2025-11-04T02:11:27Z</dcterms:modified>
</cp:coreProperties>
</file>